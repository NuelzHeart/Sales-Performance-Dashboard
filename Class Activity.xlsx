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GREAT-EMMA COMPLEX\Documents\SkillLift Data Analytics\"/>
    </mc:Choice>
  </mc:AlternateContent>
  <xr:revisionPtr revIDLastSave="0" documentId="13_ncr:1_{C35BFBFF-0D0F-443E-83B5-492A0F16D2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aw" sheetId="1" r:id="rId1"/>
    <sheet name="Working Sheet" sheetId="2" state="hidden" r:id="rId2"/>
    <sheet name="Dashboard" sheetId="7" state="hidden" r:id="rId3"/>
    <sheet name="Features of Pivot Table" sheetId="3" state="hidden" r:id="rId4"/>
    <sheet name="Pivot Table" sheetId="4" state="hidden" r:id="rId5"/>
    <sheet name="Charts" sheetId="6" state="hidden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" i="2"/>
  <c r="M3" i="2"/>
  <c r="N3" i="2" s="1" a="1"/>
  <c r="N3" i="2" s="1"/>
  <c r="M4" i="2"/>
  <c r="N4" i="2" s="1" a="1"/>
  <c r="N4" i="2" s="1"/>
  <c r="M5" i="2"/>
  <c r="N5" i="2" s="1" a="1"/>
  <c r="N5" i="2" s="1"/>
  <c r="M6" i="2"/>
  <c r="N6" i="2" s="1" a="1"/>
  <c r="N6" i="2" s="1"/>
  <c r="M7" i="2"/>
  <c r="N7" i="2" s="1" a="1"/>
  <c r="N7" i="2" s="1"/>
  <c r="M8" i="2"/>
  <c r="N8" i="2" s="1" a="1"/>
  <c r="N8" i="2" s="1"/>
  <c r="M9" i="2"/>
  <c r="N9" i="2" s="1" a="1"/>
  <c r="N9" i="2" s="1"/>
  <c r="M10" i="2"/>
  <c r="N10" i="2" s="1" a="1"/>
  <c r="N10" i="2" s="1"/>
  <c r="M11" i="2"/>
  <c r="N11" i="2" s="1" a="1"/>
  <c r="N11" i="2" s="1"/>
  <c r="M12" i="2"/>
  <c r="N12" i="2" s="1" a="1"/>
  <c r="N12" i="2" s="1"/>
  <c r="M13" i="2"/>
  <c r="N13" i="2" s="1" a="1"/>
  <c r="N13" i="2" s="1"/>
  <c r="M14" i="2"/>
  <c r="N14" i="2" s="1" a="1"/>
  <c r="N14" i="2" s="1"/>
  <c r="M15" i="2"/>
  <c r="N15" i="2" s="1" a="1"/>
  <c r="N15" i="2" s="1"/>
  <c r="M16" i="2"/>
  <c r="N16" i="2" s="1" a="1"/>
  <c r="N16" i="2" s="1"/>
  <c r="M17" i="2"/>
  <c r="N17" i="2" s="1" a="1"/>
  <c r="N17" i="2" s="1"/>
  <c r="M18" i="2"/>
  <c r="N18" i="2" s="1" a="1"/>
  <c r="N18" i="2" s="1"/>
  <c r="M19" i="2"/>
  <c r="N19" i="2" s="1" a="1"/>
  <c r="N19" i="2" s="1"/>
  <c r="M20" i="2"/>
  <c r="N20" i="2" s="1" a="1"/>
  <c r="N20" i="2" s="1"/>
  <c r="M21" i="2"/>
  <c r="N21" i="2" s="1" a="1"/>
  <c r="N21" i="2" s="1"/>
  <c r="M22" i="2"/>
  <c r="N22" i="2" s="1" a="1"/>
  <c r="N22" i="2" s="1"/>
  <c r="M23" i="2"/>
  <c r="N23" i="2" s="1" a="1"/>
  <c r="N23" i="2" s="1"/>
  <c r="M24" i="2"/>
  <c r="N24" i="2" s="1" a="1"/>
  <c r="N24" i="2" s="1"/>
  <c r="M25" i="2"/>
  <c r="N25" i="2" s="1" a="1"/>
  <c r="N25" i="2" s="1"/>
  <c r="M26" i="2"/>
  <c r="N26" i="2" s="1" a="1"/>
  <c r="N26" i="2" s="1"/>
  <c r="M27" i="2"/>
  <c r="N27" i="2" s="1" a="1"/>
  <c r="N27" i="2" s="1"/>
  <c r="M28" i="2"/>
  <c r="N28" i="2" s="1" a="1"/>
  <c r="N28" i="2" s="1"/>
  <c r="M29" i="2"/>
  <c r="N29" i="2" s="1" a="1"/>
  <c r="N29" i="2" s="1"/>
  <c r="M30" i="2"/>
  <c r="N30" i="2" s="1" a="1"/>
  <c r="N30" i="2" s="1"/>
  <c r="M31" i="2"/>
  <c r="N31" i="2" s="1" a="1"/>
  <c r="N31" i="2" s="1"/>
  <c r="M32" i="2"/>
  <c r="N32" i="2" s="1" a="1"/>
  <c r="N32" i="2" s="1"/>
  <c r="M33" i="2"/>
  <c r="N33" i="2" s="1" a="1"/>
  <c r="N33" i="2" s="1"/>
  <c r="M34" i="2"/>
  <c r="N34" i="2" s="1" a="1"/>
  <c r="N34" i="2" s="1"/>
  <c r="M35" i="2"/>
  <c r="N35" i="2" s="1" a="1"/>
  <c r="N35" i="2" s="1"/>
  <c r="M36" i="2"/>
  <c r="N36" i="2" s="1" a="1"/>
  <c r="N36" i="2" s="1"/>
  <c r="M37" i="2"/>
  <c r="N37" i="2" s="1" a="1"/>
  <c r="N37" i="2" s="1"/>
  <c r="M38" i="2"/>
  <c r="N38" i="2" s="1" a="1"/>
  <c r="N38" i="2" s="1"/>
  <c r="M39" i="2"/>
  <c r="N39" i="2" s="1" a="1"/>
  <c r="N39" i="2" s="1"/>
  <c r="M40" i="2"/>
  <c r="N40" i="2" s="1" a="1"/>
  <c r="N40" i="2" s="1"/>
  <c r="M41" i="2"/>
  <c r="N41" i="2" s="1" a="1"/>
  <c r="N41" i="2" s="1"/>
  <c r="M42" i="2"/>
  <c r="N42" i="2" s="1" a="1"/>
  <c r="N42" i="2" s="1"/>
  <c r="M43" i="2"/>
  <c r="N43" i="2" s="1" a="1"/>
  <c r="N43" i="2" s="1"/>
  <c r="M44" i="2"/>
  <c r="N44" i="2" s="1" a="1"/>
  <c r="N44" i="2" s="1"/>
  <c r="M45" i="2"/>
  <c r="N45" i="2" s="1" a="1"/>
  <c r="N45" i="2" s="1"/>
  <c r="M46" i="2"/>
  <c r="N46" i="2" s="1" a="1"/>
  <c r="N46" i="2" s="1"/>
  <c r="M47" i="2"/>
  <c r="N47" i="2" s="1" a="1"/>
  <c r="N47" i="2" s="1"/>
  <c r="M48" i="2"/>
  <c r="N48" i="2" s="1" a="1"/>
  <c r="N48" i="2" s="1"/>
  <c r="M49" i="2"/>
  <c r="N49" i="2" s="1" a="1"/>
  <c r="N49" i="2" s="1"/>
  <c r="M50" i="2"/>
  <c r="N50" i="2" s="1" a="1"/>
  <c r="N50" i="2" s="1"/>
  <c r="M51" i="2"/>
  <c r="N51" i="2" s="1" a="1"/>
  <c r="N51" i="2" s="1"/>
  <c r="M52" i="2"/>
  <c r="N52" i="2" s="1" a="1"/>
  <c r="N52" i="2" s="1"/>
  <c r="M53" i="2"/>
  <c r="N53" i="2" s="1" a="1"/>
  <c r="N53" i="2" s="1"/>
  <c r="M54" i="2"/>
  <c r="N54" i="2" s="1" a="1"/>
  <c r="N54" i="2" s="1"/>
  <c r="M55" i="2"/>
  <c r="N55" i="2" s="1" a="1"/>
  <c r="N55" i="2" s="1"/>
  <c r="M56" i="2"/>
  <c r="N56" i="2" s="1" a="1"/>
  <c r="N56" i="2" s="1"/>
  <c r="M57" i="2"/>
  <c r="N57" i="2" s="1" a="1"/>
  <c r="N57" i="2" s="1"/>
  <c r="M58" i="2"/>
  <c r="N58" i="2" s="1" a="1"/>
  <c r="N58" i="2" s="1"/>
  <c r="M59" i="2"/>
  <c r="N59" i="2" s="1" a="1"/>
  <c r="N59" i="2" s="1"/>
  <c r="M60" i="2"/>
  <c r="N60" i="2" s="1" a="1"/>
  <c r="N60" i="2" s="1"/>
  <c r="M61" i="2"/>
  <c r="N61" i="2" s="1" a="1"/>
  <c r="N61" i="2" s="1"/>
  <c r="M62" i="2"/>
  <c r="N62" i="2" s="1" a="1"/>
  <c r="N62" i="2" s="1"/>
  <c r="M63" i="2"/>
  <c r="N63" i="2" s="1" a="1"/>
  <c r="N63" i="2" s="1"/>
  <c r="M64" i="2"/>
  <c r="N64" i="2" s="1" a="1"/>
  <c r="N64" i="2" s="1"/>
  <c r="M65" i="2"/>
  <c r="N65" i="2" s="1" a="1"/>
  <c r="N65" i="2" s="1"/>
  <c r="M66" i="2"/>
  <c r="N66" i="2" s="1" a="1"/>
  <c r="N66" i="2" s="1"/>
  <c r="M67" i="2"/>
  <c r="N67" i="2" s="1" a="1"/>
  <c r="N67" i="2" s="1"/>
  <c r="M68" i="2"/>
  <c r="N68" i="2" s="1" a="1"/>
  <c r="N68" i="2" s="1"/>
  <c r="M69" i="2"/>
  <c r="N69" i="2" s="1" a="1"/>
  <c r="N69" i="2" s="1"/>
  <c r="M70" i="2"/>
  <c r="N70" i="2" s="1" a="1"/>
  <c r="N70" i="2" s="1"/>
  <c r="M71" i="2"/>
  <c r="N71" i="2" s="1" a="1"/>
  <c r="N71" i="2" s="1"/>
  <c r="M72" i="2"/>
  <c r="N72" i="2" s="1" a="1"/>
  <c r="N72" i="2" s="1"/>
  <c r="M73" i="2"/>
  <c r="N73" i="2" s="1" a="1"/>
  <c r="N73" i="2" s="1"/>
  <c r="M74" i="2"/>
  <c r="N74" i="2" s="1" a="1"/>
  <c r="N74" i="2" s="1"/>
  <c r="M75" i="2"/>
  <c r="N75" i="2" s="1" a="1"/>
  <c r="N75" i="2" s="1"/>
  <c r="M76" i="2"/>
  <c r="N76" i="2" s="1" a="1"/>
  <c r="N76" i="2" s="1"/>
  <c r="M77" i="2"/>
  <c r="N77" i="2" s="1" a="1"/>
  <c r="N77" i="2" s="1"/>
  <c r="M78" i="2"/>
  <c r="N78" i="2" s="1" a="1"/>
  <c r="N78" i="2" s="1"/>
  <c r="M79" i="2"/>
  <c r="N79" i="2" s="1" a="1"/>
  <c r="N79" i="2" s="1"/>
  <c r="M80" i="2"/>
  <c r="N80" i="2" s="1" a="1"/>
  <c r="N80" i="2" s="1"/>
  <c r="M81" i="2"/>
  <c r="N81" i="2" s="1" a="1"/>
  <c r="N81" i="2" s="1"/>
  <c r="M82" i="2"/>
  <c r="N82" i="2" s="1" a="1"/>
  <c r="N82" i="2" s="1"/>
  <c r="M83" i="2"/>
  <c r="N83" i="2" s="1" a="1"/>
  <c r="N83" i="2" s="1"/>
  <c r="M84" i="2"/>
  <c r="N84" i="2" s="1" a="1"/>
  <c r="N84" i="2" s="1"/>
  <c r="M85" i="2"/>
  <c r="N85" i="2" s="1" a="1"/>
  <c r="N85" i="2" s="1"/>
  <c r="M86" i="2"/>
  <c r="N86" i="2" s="1" a="1"/>
  <c r="N86" i="2" s="1"/>
  <c r="M87" i="2"/>
  <c r="N87" i="2" s="1" a="1"/>
  <c r="N87" i="2" s="1"/>
  <c r="M88" i="2"/>
  <c r="N88" i="2" s="1" a="1"/>
  <c r="N88" i="2" s="1"/>
  <c r="M89" i="2"/>
  <c r="N89" i="2" s="1" a="1"/>
  <c r="N89" i="2" s="1"/>
  <c r="M90" i="2"/>
  <c r="N90" i="2" s="1" a="1"/>
  <c r="N90" i="2" s="1"/>
  <c r="M91" i="2"/>
  <c r="N91" i="2" s="1" a="1"/>
  <c r="N91" i="2" s="1"/>
  <c r="M92" i="2"/>
  <c r="N92" i="2" s="1" a="1"/>
  <c r="N92" i="2" s="1"/>
  <c r="M93" i="2"/>
  <c r="N93" i="2" s="1" a="1"/>
  <c r="N93" i="2" s="1"/>
  <c r="M94" i="2"/>
  <c r="N94" i="2" s="1" a="1"/>
  <c r="N94" i="2" s="1"/>
  <c r="M95" i="2"/>
  <c r="N95" i="2" s="1" a="1"/>
  <c r="N95" i="2" s="1"/>
  <c r="M96" i="2"/>
  <c r="N96" i="2" s="1" a="1"/>
  <c r="N96" i="2" s="1"/>
  <c r="M97" i="2"/>
  <c r="N97" i="2" s="1" a="1"/>
  <c r="N97" i="2" s="1"/>
  <c r="M98" i="2"/>
  <c r="N98" i="2" s="1" a="1"/>
  <c r="N98" i="2" s="1"/>
  <c r="M99" i="2"/>
  <c r="N99" i="2" s="1" a="1"/>
  <c r="N99" i="2" s="1"/>
  <c r="M100" i="2"/>
  <c r="N100" i="2" s="1" a="1"/>
  <c r="N100" i="2" s="1"/>
  <c r="M101" i="2"/>
  <c r="N101" i="2" s="1" a="1"/>
  <c r="N101" i="2" s="1"/>
  <c r="M102" i="2"/>
  <c r="N102" i="2" s="1" a="1"/>
  <c r="N102" i="2" s="1"/>
  <c r="M103" i="2"/>
  <c r="N103" i="2" s="1" a="1"/>
  <c r="N103" i="2" s="1"/>
  <c r="M104" i="2"/>
  <c r="N104" i="2" s="1" a="1"/>
  <c r="N104" i="2" s="1"/>
  <c r="M105" i="2"/>
  <c r="N105" i="2" s="1" a="1"/>
  <c r="N105" i="2" s="1"/>
  <c r="M106" i="2"/>
  <c r="N106" i="2" s="1" a="1"/>
  <c r="N106" i="2" s="1"/>
  <c r="M107" i="2"/>
  <c r="N107" i="2" s="1" a="1"/>
  <c r="N107" i="2" s="1"/>
  <c r="M108" i="2"/>
  <c r="N108" i="2" s="1" a="1"/>
  <c r="N108" i="2" s="1"/>
  <c r="M109" i="2"/>
  <c r="N109" i="2" s="1" a="1"/>
  <c r="N109" i="2" s="1"/>
  <c r="M110" i="2"/>
  <c r="N110" i="2" s="1" a="1"/>
  <c r="N110" i="2" s="1"/>
  <c r="M111" i="2"/>
  <c r="N111" i="2" s="1" a="1"/>
  <c r="N111" i="2" s="1"/>
  <c r="M112" i="2"/>
  <c r="N112" i="2" s="1" a="1"/>
  <c r="N112" i="2" s="1"/>
  <c r="M113" i="2"/>
  <c r="N113" i="2" s="1" a="1"/>
  <c r="N113" i="2" s="1"/>
  <c r="M114" i="2"/>
  <c r="N114" i="2" s="1" a="1"/>
  <c r="N114" i="2" s="1"/>
  <c r="M115" i="2"/>
  <c r="N115" i="2" s="1" a="1"/>
  <c r="N115" i="2" s="1"/>
  <c r="M116" i="2"/>
  <c r="N116" i="2" s="1" a="1"/>
  <c r="N116" i="2" s="1"/>
  <c r="M117" i="2"/>
  <c r="N117" i="2" s="1" a="1"/>
  <c r="N117" i="2" s="1"/>
  <c r="M118" i="2"/>
  <c r="N118" i="2" s="1" a="1"/>
  <c r="N118" i="2" s="1"/>
  <c r="M119" i="2"/>
  <c r="N119" i="2" s="1" a="1"/>
  <c r="N119" i="2" s="1"/>
  <c r="M120" i="2"/>
  <c r="N120" i="2" s="1" a="1"/>
  <c r="N120" i="2" s="1"/>
  <c r="M121" i="2"/>
  <c r="N121" i="2" s="1" a="1"/>
  <c r="N121" i="2" s="1"/>
  <c r="M122" i="2"/>
  <c r="N122" i="2" s="1" a="1"/>
  <c r="N122" i="2" s="1"/>
  <c r="M123" i="2"/>
  <c r="N123" i="2" s="1" a="1"/>
  <c r="N123" i="2" s="1"/>
  <c r="M124" i="2"/>
  <c r="N124" i="2" s="1" a="1"/>
  <c r="N124" i="2" s="1"/>
  <c r="M125" i="2"/>
  <c r="N125" i="2" s="1" a="1"/>
  <c r="N125" i="2" s="1"/>
  <c r="M126" i="2"/>
  <c r="N126" i="2" s="1" a="1"/>
  <c r="N126" i="2" s="1"/>
  <c r="M127" i="2"/>
  <c r="N127" i="2" s="1" a="1"/>
  <c r="N127" i="2" s="1"/>
  <c r="M128" i="2"/>
  <c r="N128" i="2" s="1" a="1"/>
  <c r="N128" i="2" s="1"/>
  <c r="M129" i="2"/>
  <c r="N129" i="2" s="1" a="1"/>
  <c r="N129" i="2" s="1"/>
  <c r="M130" i="2"/>
  <c r="N130" i="2" s="1" a="1"/>
  <c r="N130" i="2" s="1"/>
  <c r="M131" i="2"/>
  <c r="N131" i="2" s="1" a="1"/>
  <c r="N131" i="2" s="1"/>
  <c r="M132" i="2"/>
  <c r="N132" i="2" s="1" a="1"/>
  <c r="N132" i="2" s="1"/>
  <c r="M133" i="2"/>
  <c r="N133" i="2" s="1" a="1"/>
  <c r="N133" i="2" s="1"/>
  <c r="M134" i="2"/>
  <c r="N134" i="2" s="1" a="1"/>
  <c r="N134" i="2" s="1"/>
  <c r="M135" i="2"/>
  <c r="N135" i="2" s="1" a="1"/>
  <c r="N135" i="2" s="1"/>
  <c r="M136" i="2"/>
  <c r="N136" i="2" s="1" a="1"/>
  <c r="N136" i="2" s="1"/>
  <c r="M137" i="2"/>
  <c r="N137" i="2" s="1" a="1"/>
  <c r="N137" i="2" s="1"/>
  <c r="M138" i="2"/>
  <c r="N138" i="2" s="1" a="1"/>
  <c r="N138" i="2" s="1"/>
  <c r="M139" i="2"/>
  <c r="N139" i="2" s="1" a="1"/>
  <c r="N139" i="2" s="1"/>
  <c r="M140" i="2"/>
  <c r="N140" i="2" s="1" a="1"/>
  <c r="N140" i="2" s="1"/>
  <c r="M141" i="2"/>
  <c r="N141" i="2" s="1" a="1"/>
  <c r="N141" i="2" s="1"/>
  <c r="M142" i="2"/>
  <c r="N142" i="2" s="1" a="1"/>
  <c r="N142" i="2" s="1"/>
  <c r="M143" i="2"/>
  <c r="N143" i="2" s="1" a="1"/>
  <c r="N143" i="2" s="1"/>
  <c r="M144" i="2"/>
  <c r="N144" i="2" s="1" a="1"/>
  <c r="N144" i="2" s="1"/>
  <c r="M145" i="2"/>
  <c r="N145" i="2" s="1" a="1"/>
  <c r="N145" i="2" s="1"/>
  <c r="M146" i="2"/>
  <c r="N146" i="2" s="1" a="1"/>
  <c r="N146" i="2" s="1"/>
  <c r="M147" i="2"/>
  <c r="N147" i="2" s="1" a="1"/>
  <c r="N147" i="2" s="1"/>
  <c r="M148" i="2"/>
  <c r="N148" i="2" s="1" a="1"/>
  <c r="N148" i="2" s="1"/>
  <c r="M149" i="2"/>
  <c r="N149" i="2" s="1" a="1"/>
  <c r="N149" i="2" s="1"/>
  <c r="M150" i="2"/>
  <c r="N150" i="2" s="1" a="1"/>
  <c r="N150" i="2" s="1"/>
  <c r="M151" i="2"/>
  <c r="N151" i="2" s="1" a="1"/>
  <c r="N151" i="2" s="1"/>
  <c r="M152" i="2"/>
  <c r="N152" i="2" s="1" a="1"/>
  <c r="N152" i="2" s="1"/>
  <c r="M153" i="2"/>
  <c r="N153" i="2" s="1" a="1"/>
  <c r="N153" i="2" s="1"/>
  <c r="M154" i="2"/>
  <c r="N154" i="2" s="1" a="1"/>
  <c r="N154" i="2" s="1"/>
  <c r="M155" i="2"/>
  <c r="N155" i="2" s="1" a="1"/>
  <c r="N155" i="2" s="1"/>
  <c r="M156" i="2"/>
  <c r="N156" i="2" s="1" a="1"/>
  <c r="N156" i="2" s="1"/>
  <c r="M157" i="2"/>
  <c r="N157" i="2" s="1" a="1"/>
  <c r="N157" i="2" s="1"/>
  <c r="M158" i="2"/>
  <c r="N158" i="2" s="1" a="1"/>
  <c r="N158" i="2" s="1"/>
  <c r="M159" i="2"/>
  <c r="N159" i="2" s="1" a="1"/>
  <c r="N159" i="2" s="1"/>
  <c r="M160" i="2"/>
  <c r="N160" i="2" s="1" a="1"/>
  <c r="N160" i="2" s="1"/>
  <c r="M161" i="2"/>
  <c r="N161" i="2" s="1" a="1"/>
  <c r="N161" i="2" s="1"/>
  <c r="M162" i="2"/>
  <c r="N162" i="2" s="1" a="1"/>
  <c r="N162" i="2" s="1"/>
  <c r="M163" i="2"/>
  <c r="N163" i="2" s="1" a="1"/>
  <c r="N163" i="2" s="1"/>
  <c r="M164" i="2"/>
  <c r="N164" i="2" s="1" a="1"/>
  <c r="N164" i="2" s="1"/>
  <c r="M165" i="2"/>
  <c r="N165" i="2" s="1" a="1"/>
  <c r="N165" i="2" s="1"/>
  <c r="M166" i="2"/>
  <c r="N166" i="2" s="1" a="1"/>
  <c r="N166" i="2" s="1"/>
  <c r="M167" i="2"/>
  <c r="N167" i="2" s="1" a="1"/>
  <c r="N167" i="2" s="1"/>
  <c r="M168" i="2"/>
  <c r="N168" i="2" s="1" a="1"/>
  <c r="N168" i="2" s="1"/>
  <c r="M169" i="2"/>
  <c r="N169" i="2" s="1" a="1"/>
  <c r="N169" i="2" s="1"/>
  <c r="M170" i="2"/>
  <c r="N170" i="2" s="1" a="1"/>
  <c r="N170" i="2" s="1"/>
  <c r="M171" i="2"/>
  <c r="N171" i="2" s="1" a="1"/>
  <c r="N171" i="2" s="1"/>
  <c r="M172" i="2"/>
  <c r="N172" i="2" s="1" a="1"/>
  <c r="N172" i="2" s="1"/>
  <c r="M173" i="2"/>
  <c r="N173" i="2" s="1" a="1"/>
  <c r="N173" i="2" s="1"/>
  <c r="M174" i="2"/>
  <c r="N174" i="2" s="1" a="1"/>
  <c r="N174" i="2" s="1"/>
  <c r="M175" i="2"/>
  <c r="N175" i="2" s="1" a="1"/>
  <c r="N175" i="2" s="1"/>
  <c r="M176" i="2"/>
  <c r="N176" i="2" s="1" a="1"/>
  <c r="N176" i="2" s="1"/>
  <c r="M177" i="2"/>
  <c r="N177" i="2" s="1" a="1"/>
  <c r="N177" i="2" s="1"/>
  <c r="M178" i="2"/>
  <c r="N178" i="2" s="1" a="1"/>
  <c r="N178" i="2" s="1"/>
  <c r="M179" i="2"/>
  <c r="N179" i="2" s="1" a="1"/>
  <c r="N179" i="2" s="1"/>
  <c r="M180" i="2"/>
  <c r="N180" i="2" s="1" a="1"/>
  <c r="N180" i="2" s="1"/>
  <c r="M181" i="2"/>
  <c r="N181" i="2" s="1" a="1"/>
  <c r="N181" i="2" s="1"/>
  <c r="M182" i="2"/>
  <c r="N182" i="2" s="1" a="1"/>
  <c r="N182" i="2" s="1"/>
  <c r="M183" i="2"/>
  <c r="N183" i="2" s="1" a="1"/>
  <c r="N183" i="2" s="1"/>
  <c r="M184" i="2"/>
  <c r="N184" i="2" s="1" a="1"/>
  <c r="N184" i="2" s="1"/>
  <c r="M185" i="2"/>
  <c r="N185" i="2" s="1" a="1"/>
  <c r="N185" i="2" s="1"/>
  <c r="M186" i="2"/>
  <c r="N186" i="2" s="1" a="1"/>
  <c r="N186" i="2" s="1"/>
  <c r="M187" i="2"/>
  <c r="N187" i="2" s="1" a="1"/>
  <c r="N187" i="2" s="1"/>
  <c r="M188" i="2"/>
  <c r="N188" i="2" s="1" a="1"/>
  <c r="N188" i="2" s="1"/>
  <c r="M189" i="2"/>
  <c r="N189" i="2" s="1" a="1"/>
  <c r="N189" i="2" s="1"/>
  <c r="M190" i="2"/>
  <c r="N190" i="2" s="1" a="1"/>
  <c r="N190" i="2" s="1"/>
  <c r="M191" i="2"/>
  <c r="N191" i="2" s="1" a="1"/>
  <c r="N191" i="2" s="1"/>
  <c r="M192" i="2"/>
  <c r="N192" i="2" s="1" a="1"/>
  <c r="N192" i="2" s="1"/>
  <c r="M193" i="2"/>
  <c r="N193" i="2" s="1" a="1"/>
  <c r="N193" i="2" s="1"/>
  <c r="M194" i="2"/>
  <c r="N194" i="2" s="1" a="1"/>
  <c r="N194" i="2" s="1"/>
  <c r="M195" i="2"/>
  <c r="N195" i="2" s="1" a="1"/>
  <c r="N195" i="2" s="1"/>
  <c r="M196" i="2"/>
  <c r="N196" i="2" s="1" a="1"/>
  <c r="N196" i="2" s="1"/>
  <c r="M197" i="2"/>
  <c r="N197" i="2" s="1" a="1"/>
  <c r="N197" i="2" s="1"/>
  <c r="M198" i="2"/>
  <c r="N198" i="2" s="1" a="1"/>
  <c r="N198" i="2" s="1"/>
  <c r="M199" i="2"/>
  <c r="N199" i="2" s="1" a="1"/>
  <c r="N199" i="2" s="1"/>
  <c r="M200" i="2"/>
  <c r="N200" i="2" s="1" a="1"/>
  <c r="N200" i="2" s="1"/>
  <c r="M201" i="2"/>
  <c r="N201" i="2" s="1" a="1"/>
  <c r="N201" i="2" s="1"/>
  <c r="M202" i="2"/>
  <c r="N202" i="2" s="1" a="1"/>
  <c r="N202" i="2" s="1"/>
  <c r="M203" i="2"/>
  <c r="N203" i="2" s="1" a="1"/>
  <c r="N203" i="2" s="1"/>
  <c r="M204" i="2"/>
  <c r="N204" i="2" s="1" a="1"/>
  <c r="N204" i="2" s="1"/>
  <c r="M205" i="2"/>
  <c r="N205" i="2" s="1" a="1"/>
  <c r="N205" i="2" s="1"/>
  <c r="M206" i="2"/>
  <c r="N206" i="2" s="1" a="1"/>
  <c r="N206" i="2" s="1"/>
  <c r="M207" i="2"/>
  <c r="N207" i="2" s="1" a="1"/>
  <c r="N207" i="2" s="1"/>
  <c r="M208" i="2"/>
  <c r="N208" i="2" s="1" a="1"/>
  <c r="N208" i="2" s="1"/>
  <c r="M209" i="2"/>
  <c r="N209" i="2" s="1" a="1"/>
  <c r="N209" i="2" s="1"/>
  <c r="M210" i="2"/>
  <c r="N210" i="2" s="1" a="1"/>
  <c r="N210" i="2" s="1"/>
  <c r="M211" i="2"/>
  <c r="N211" i="2" s="1" a="1"/>
  <c r="N211" i="2" s="1"/>
  <c r="M212" i="2"/>
  <c r="N212" i="2" s="1" a="1"/>
  <c r="N212" i="2" s="1"/>
  <c r="M213" i="2"/>
  <c r="N213" i="2" s="1" a="1"/>
  <c r="N213" i="2" s="1"/>
  <c r="M214" i="2"/>
  <c r="N214" i="2" s="1" a="1"/>
  <c r="N214" i="2" s="1"/>
  <c r="M215" i="2"/>
  <c r="N215" i="2" s="1" a="1"/>
  <c r="N215" i="2" s="1"/>
  <c r="M216" i="2"/>
  <c r="N216" i="2" s="1" a="1"/>
  <c r="N216" i="2" s="1"/>
  <c r="M217" i="2"/>
  <c r="N217" i="2" s="1" a="1"/>
  <c r="N217" i="2" s="1"/>
  <c r="M218" i="2"/>
  <c r="N218" i="2" s="1" a="1"/>
  <c r="N218" i="2" s="1"/>
  <c r="M219" i="2"/>
  <c r="N219" i="2" s="1" a="1"/>
  <c r="N219" i="2" s="1"/>
  <c r="M220" i="2"/>
  <c r="N220" i="2" s="1" a="1"/>
  <c r="N220" i="2" s="1"/>
  <c r="M221" i="2"/>
  <c r="N221" i="2" s="1" a="1"/>
  <c r="N221" i="2" s="1"/>
  <c r="M222" i="2"/>
  <c r="N222" i="2" s="1" a="1"/>
  <c r="N222" i="2" s="1"/>
  <c r="M223" i="2"/>
  <c r="N223" i="2" s="1" a="1"/>
  <c r="N223" i="2" s="1"/>
  <c r="M224" i="2"/>
  <c r="N224" i="2" s="1" a="1"/>
  <c r="N224" i="2" s="1"/>
  <c r="M225" i="2"/>
  <c r="N225" i="2" s="1" a="1"/>
  <c r="N225" i="2" s="1"/>
  <c r="M226" i="2"/>
  <c r="N226" i="2" s="1" a="1"/>
  <c r="N226" i="2" s="1"/>
  <c r="M227" i="2"/>
  <c r="N227" i="2" s="1" a="1"/>
  <c r="N227" i="2" s="1"/>
  <c r="M228" i="2"/>
  <c r="N228" i="2" s="1" a="1"/>
  <c r="N228" i="2" s="1"/>
  <c r="M229" i="2"/>
  <c r="N229" i="2" s="1" a="1"/>
  <c r="N229" i="2" s="1"/>
  <c r="M230" i="2"/>
  <c r="N230" i="2" s="1" a="1"/>
  <c r="N230" i="2" s="1"/>
  <c r="M231" i="2"/>
  <c r="N231" i="2" s="1" a="1"/>
  <c r="N231" i="2" s="1"/>
  <c r="M232" i="2"/>
  <c r="N232" i="2" s="1" a="1"/>
  <c r="N232" i="2" s="1"/>
  <c r="M233" i="2"/>
  <c r="N233" i="2" s="1" a="1"/>
  <c r="N233" i="2" s="1"/>
  <c r="M234" i="2"/>
  <c r="N234" i="2" s="1" a="1"/>
  <c r="N234" i="2" s="1"/>
  <c r="M235" i="2"/>
  <c r="N235" i="2" s="1" a="1"/>
  <c r="N235" i="2" s="1"/>
  <c r="M236" i="2"/>
  <c r="N236" i="2" s="1" a="1"/>
  <c r="N236" i="2" s="1"/>
  <c r="M237" i="2"/>
  <c r="N237" i="2" s="1" a="1"/>
  <c r="N237" i="2" s="1"/>
  <c r="M238" i="2"/>
  <c r="N238" i="2" s="1" a="1"/>
  <c r="N238" i="2" s="1"/>
  <c r="M239" i="2"/>
  <c r="N239" i="2" s="1" a="1"/>
  <c r="N239" i="2" s="1"/>
  <c r="M240" i="2"/>
  <c r="N240" i="2" s="1" a="1"/>
  <c r="N240" i="2" s="1"/>
  <c r="M241" i="2"/>
  <c r="N241" i="2" s="1" a="1"/>
  <c r="N241" i="2" s="1"/>
  <c r="M242" i="2"/>
  <c r="N242" i="2" s="1" a="1"/>
  <c r="N242" i="2" s="1"/>
  <c r="M243" i="2"/>
  <c r="N243" i="2" s="1" a="1"/>
  <c r="N243" i="2" s="1"/>
  <c r="M244" i="2"/>
  <c r="N244" i="2" s="1" a="1"/>
  <c r="N244" i="2" s="1"/>
  <c r="M245" i="2"/>
  <c r="N245" i="2" s="1" a="1"/>
  <c r="N245" i="2" s="1"/>
  <c r="M246" i="2"/>
  <c r="N246" i="2" s="1" a="1"/>
  <c r="N246" i="2" s="1"/>
  <c r="M247" i="2"/>
  <c r="N247" i="2" s="1" a="1"/>
  <c r="N247" i="2" s="1"/>
  <c r="M248" i="2"/>
  <c r="N248" i="2" s="1" a="1"/>
  <c r="N248" i="2" s="1"/>
  <c r="M249" i="2"/>
  <c r="N249" i="2" s="1" a="1"/>
  <c r="N249" i="2" s="1"/>
  <c r="M250" i="2"/>
  <c r="N250" i="2" s="1" a="1"/>
  <c r="N250" i="2" s="1"/>
  <c r="M251" i="2"/>
  <c r="N251" i="2" s="1" a="1"/>
  <c r="N251" i="2" s="1"/>
  <c r="M252" i="2"/>
  <c r="N252" i="2" s="1" a="1"/>
  <c r="N252" i="2" s="1"/>
  <c r="M253" i="2"/>
  <c r="N253" i="2" s="1" a="1"/>
  <c r="N253" i="2" s="1"/>
  <c r="M254" i="2"/>
  <c r="N254" i="2" s="1" a="1"/>
  <c r="N254" i="2" s="1"/>
  <c r="M255" i="2"/>
  <c r="N255" i="2" s="1" a="1"/>
  <c r="N255" i="2" s="1"/>
  <c r="M256" i="2"/>
  <c r="N256" i="2" s="1" a="1"/>
  <c r="N256" i="2" s="1"/>
  <c r="M257" i="2"/>
  <c r="N257" i="2" s="1" a="1"/>
  <c r="N257" i="2" s="1"/>
  <c r="M258" i="2"/>
  <c r="N258" i="2" s="1" a="1"/>
  <c r="N258" i="2" s="1"/>
  <c r="M2" i="2"/>
  <c r="L3" i="2" a="1"/>
  <c r="L3" i="2" s="1"/>
  <c r="L4" i="2" a="1"/>
  <c r="L4" i="2" s="1"/>
  <c r="L5" i="2" a="1"/>
  <c r="L5" i="2" s="1"/>
  <c r="L6" i="2" a="1"/>
  <c r="L6" i="2" s="1"/>
  <c r="L7" i="2" a="1"/>
  <c r="L7" i="2" s="1"/>
  <c r="L8" i="2" a="1"/>
  <c r="L8" i="2" s="1"/>
  <c r="L9" i="2" a="1"/>
  <c r="L9" i="2" s="1"/>
  <c r="L10" i="2" a="1"/>
  <c r="L10" i="2" s="1"/>
  <c r="L11" i="2" a="1"/>
  <c r="L11" i="2" s="1"/>
  <c r="L12" i="2" a="1"/>
  <c r="L12" i="2" s="1"/>
  <c r="L13" i="2" a="1"/>
  <c r="L13" i="2" s="1"/>
  <c r="L14" i="2" a="1"/>
  <c r="L14" i="2" s="1"/>
  <c r="L15" i="2" a="1"/>
  <c r="L15" i="2" s="1"/>
  <c r="L16" i="2" a="1"/>
  <c r="L16" i="2" s="1"/>
  <c r="L17" i="2" a="1"/>
  <c r="L17" i="2" s="1"/>
  <c r="L18" i="2" a="1"/>
  <c r="L18" i="2" s="1"/>
  <c r="L19" i="2" a="1"/>
  <c r="L19" i="2" s="1"/>
  <c r="L20" i="2" a="1"/>
  <c r="L20" i="2" s="1"/>
  <c r="L21" i="2" a="1"/>
  <c r="L21" i="2" s="1"/>
  <c r="L22" i="2" a="1"/>
  <c r="L22" i="2" s="1"/>
  <c r="L23" i="2" a="1"/>
  <c r="L23" i="2" s="1"/>
  <c r="L24" i="2" a="1"/>
  <c r="L24" i="2" s="1"/>
  <c r="L25" i="2" a="1"/>
  <c r="L25" i="2" s="1"/>
  <c r="L26" i="2" a="1"/>
  <c r="L26" i="2" s="1"/>
  <c r="L27" i="2" a="1"/>
  <c r="L27" i="2" s="1"/>
  <c r="L28" i="2" a="1"/>
  <c r="L28" i="2" s="1"/>
  <c r="L29" i="2" a="1"/>
  <c r="L29" i="2" s="1"/>
  <c r="L30" i="2" a="1"/>
  <c r="L30" i="2" s="1"/>
  <c r="L31" i="2" a="1"/>
  <c r="L31" i="2" s="1"/>
  <c r="L32" i="2" a="1"/>
  <c r="L32" i="2" s="1"/>
  <c r="L33" i="2" a="1"/>
  <c r="L33" i="2" s="1"/>
  <c r="L34" i="2" a="1"/>
  <c r="L34" i="2" s="1"/>
  <c r="L35" i="2" a="1"/>
  <c r="L35" i="2" s="1"/>
  <c r="L36" i="2" a="1"/>
  <c r="L36" i="2" s="1"/>
  <c r="L37" i="2" a="1"/>
  <c r="L37" i="2" s="1"/>
  <c r="L38" i="2" a="1"/>
  <c r="L38" i="2" s="1"/>
  <c r="L39" i="2" a="1"/>
  <c r="L39" i="2" s="1"/>
  <c r="L40" i="2" a="1"/>
  <c r="L40" i="2" s="1"/>
  <c r="L41" i="2" a="1"/>
  <c r="L41" i="2" s="1"/>
  <c r="L42" i="2" a="1"/>
  <c r="L42" i="2" s="1"/>
  <c r="L43" i="2" a="1"/>
  <c r="L43" i="2" s="1"/>
  <c r="L44" i="2" a="1"/>
  <c r="L44" i="2" s="1"/>
  <c r="L45" i="2" a="1"/>
  <c r="L45" i="2" s="1"/>
  <c r="L46" i="2" a="1"/>
  <c r="L46" i="2" s="1"/>
  <c r="L47" i="2" a="1"/>
  <c r="L47" i="2" s="1"/>
  <c r="L48" i="2" a="1"/>
  <c r="L48" i="2" s="1"/>
  <c r="L49" i="2" a="1"/>
  <c r="L49" i="2" s="1"/>
  <c r="L50" i="2" a="1"/>
  <c r="L50" i="2" s="1"/>
  <c r="L51" i="2" a="1"/>
  <c r="L51" i="2" s="1"/>
  <c r="L52" i="2" a="1"/>
  <c r="L52" i="2" s="1"/>
  <c r="L53" i="2" a="1"/>
  <c r="L53" i="2" s="1"/>
  <c r="L54" i="2" a="1"/>
  <c r="L54" i="2" s="1"/>
  <c r="L55" i="2" a="1"/>
  <c r="L55" i="2" s="1"/>
  <c r="L56" i="2" a="1"/>
  <c r="L56" i="2" s="1"/>
  <c r="L57" i="2" a="1"/>
  <c r="L57" i="2" s="1"/>
  <c r="L58" i="2" a="1"/>
  <c r="L58" i="2" s="1"/>
  <c r="L59" i="2" a="1"/>
  <c r="L59" i="2" s="1"/>
  <c r="L60" i="2" a="1"/>
  <c r="L60" i="2" s="1"/>
  <c r="L61" i="2" a="1"/>
  <c r="L61" i="2" s="1"/>
  <c r="L62" i="2" a="1"/>
  <c r="L62" i="2" s="1"/>
  <c r="L63" i="2" a="1"/>
  <c r="L63" i="2" s="1"/>
  <c r="L64" i="2" a="1"/>
  <c r="L64" i="2" s="1"/>
  <c r="L65" i="2" a="1"/>
  <c r="L65" i="2" s="1"/>
  <c r="L66" i="2" a="1"/>
  <c r="L66" i="2" s="1"/>
  <c r="L67" i="2" a="1"/>
  <c r="L67" i="2" s="1"/>
  <c r="L68" i="2" a="1"/>
  <c r="L68" i="2" s="1"/>
  <c r="L69" i="2" a="1"/>
  <c r="L69" i="2" s="1"/>
  <c r="L70" i="2" a="1"/>
  <c r="L70" i="2" s="1"/>
  <c r="L71" i="2" a="1"/>
  <c r="L71" i="2" s="1"/>
  <c r="L72" i="2" a="1"/>
  <c r="L72" i="2" s="1"/>
  <c r="L73" i="2" a="1"/>
  <c r="L73" i="2" s="1"/>
  <c r="L74" i="2" a="1"/>
  <c r="L74" i="2" s="1"/>
  <c r="L75" i="2" a="1"/>
  <c r="L75" i="2" s="1"/>
  <c r="L76" i="2" a="1"/>
  <c r="L76" i="2" s="1"/>
  <c r="L77" i="2" a="1"/>
  <c r="L77" i="2" s="1"/>
  <c r="L78" i="2" a="1"/>
  <c r="L78" i="2" s="1"/>
  <c r="L79" i="2" a="1"/>
  <c r="L79" i="2" s="1"/>
  <c r="L80" i="2" a="1"/>
  <c r="L80" i="2" s="1"/>
  <c r="L81" i="2" a="1"/>
  <c r="L81" i="2" s="1"/>
  <c r="L82" i="2" a="1"/>
  <c r="L82" i="2" s="1"/>
  <c r="L83" i="2" a="1"/>
  <c r="L83" i="2" s="1"/>
  <c r="L84" i="2" a="1"/>
  <c r="L84" i="2" s="1"/>
  <c r="L85" i="2" a="1"/>
  <c r="L85" i="2" s="1"/>
  <c r="L86" i="2" a="1"/>
  <c r="L86" i="2" s="1"/>
  <c r="L87" i="2" a="1"/>
  <c r="L87" i="2" s="1"/>
  <c r="L88" i="2" a="1"/>
  <c r="L88" i="2" s="1"/>
  <c r="L89" i="2" a="1"/>
  <c r="L89" i="2" s="1"/>
  <c r="L90" i="2" a="1"/>
  <c r="L90" i="2" s="1"/>
  <c r="L91" i="2" a="1"/>
  <c r="L91" i="2" s="1"/>
  <c r="L92" i="2" a="1"/>
  <c r="L92" i="2" s="1"/>
  <c r="L93" i="2" a="1"/>
  <c r="L93" i="2" s="1"/>
  <c r="L94" i="2" a="1"/>
  <c r="L94" i="2" s="1"/>
  <c r="L95" i="2" a="1"/>
  <c r="L95" i="2" s="1"/>
  <c r="L96" i="2" a="1"/>
  <c r="L96" i="2" s="1"/>
  <c r="L97" i="2" a="1"/>
  <c r="L97" i="2" s="1"/>
  <c r="L98" i="2" a="1"/>
  <c r="L98" i="2" s="1"/>
  <c r="L99" i="2" a="1"/>
  <c r="L99" i="2" s="1"/>
  <c r="L100" i="2" a="1"/>
  <c r="L100" i="2" s="1"/>
  <c r="L101" i="2" a="1"/>
  <c r="L101" i="2" s="1"/>
  <c r="L102" i="2" a="1"/>
  <c r="L102" i="2" s="1"/>
  <c r="L103" i="2" a="1"/>
  <c r="L103" i="2" s="1"/>
  <c r="L104" i="2" a="1"/>
  <c r="L104" i="2" s="1"/>
  <c r="L105" i="2" a="1"/>
  <c r="L105" i="2" s="1"/>
  <c r="L106" i="2" a="1"/>
  <c r="L106" i="2" s="1"/>
  <c r="L107" i="2" a="1"/>
  <c r="L107" i="2" s="1"/>
  <c r="L108" i="2" a="1"/>
  <c r="L108" i="2" s="1"/>
  <c r="L109" i="2" a="1"/>
  <c r="L109" i="2" s="1"/>
  <c r="L110" i="2" a="1"/>
  <c r="L110" i="2" s="1"/>
  <c r="L111" i="2" a="1"/>
  <c r="L111" i="2" s="1"/>
  <c r="L112" i="2" a="1"/>
  <c r="L112" i="2" s="1"/>
  <c r="L113" i="2" a="1"/>
  <c r="L113" i="2" s="1"/>
  <c r="L114" i="2" a="1"/>
  <c r="L114" i="2" s="1"/>
  <c r="L115" i="2" a="1"/>
  <c r="L115" i="2" s="1"/>
  <c r="L116" i="2" a="1"/>
  <c r="L116" i="2" s="1"/>
  <c r="L117" i="2" a="1"/>
  <c r="L117" i="2" s="1"/>
  <c r="L118" i="2" a="1"/>
  <c r="L118" i="2" s="1"/>
  <c r="L119" i="2" a="1"/>
  <c r="L119" i="2" s="1"/>
  <c r="L120" i="2" a="1"/>
  <c r="L120" i="2" s="1"/>
  <c r="L121" i="2" a="1"/>
  <c r="L121" i="2" s="1"/>
  <c r="L122" i="2" a="1"/>
  <c r="L122" i="2" s="1"/>
  <c r="L123" i="2" a="1"/>
  <c r="L123" i="2" s="1"/>
  <c r="L124" i="2" a="1"/>
  <c r="L124" i="2" s="1"/>
  <c r="L125" i="2" a="1"/>
  <c r="L125" i="2" s="1"/>
  <c r="L126" i="2" a="1"/>
  <c r="L126" i="2" s="1"/>
  <c r="L127" i="2" a="1"/>
  <c r="L127" i="2" s="1"/>
  <c r="L128" i="2" a="1"/>
  <c r="L128" i="2" s="1"/>
  <c r="L129" i="2" a="1"/>
  <c r="L129" i="2" s="1"/>
  <c r="L130" i="2" a="1"/>
  <c r="L130" i="2" s="1"/>
  <c r="L131" i="2" a="1"/>
  <c r="L131" i="2" s="1"/>
  <c r="L132" i="2" a="1"/>
  <c r="L132" i="2" s="1"/>
  <c r="L133" i="2" a="1"/>
  <c r="L133" i="2" s="1"/>
  <c r="L134" i="2" a="1"/>
  <c r="L134" i="2" s="1"/>
  <c r="L135" i="2" a="1"/>
  <c r="L135" i="2" s="1"/>
  <c r="L136" i="2" a="1"/>
  <c r="L136" i="2" s="1"/>
  <c r="L137" i="2" a="1"/>
  <c r="L137" i="2" s="1"/>
  <c r="L138" i="2" a="1"/>
  <c r="L138" i="2" s="1"/>
  <c r="L139" i="2" a="1"/>
  <c r="L139" i="2" s="1"/>
  <c r="L140" i="2" a="1"/>
  <c r="L140" i="2" s="1"/>
  <c r="L141" i="2" a="1"/>
  <c r="L141" i="2" s="1"/>
  <c r="L142" i="2" a="1"/>
  <c r="L142" i="2" s="1"/>
  <c r="L143" i="2" a="1"/>
  <c r="L143" i="2" s="1"/>
  <c r="L144" i="2" a="1"/>
  <c r="L144" i="2" s="1"/>
  <c r="L145" i="2" a="1"/>
  <c r="L145" i="2" s="1"/>
  <c r="L146" i="2" a="1"/>
  <c r="L146" i="2" s="1"/>
  <c r="L147" i="2" a="1"/>
  <c r="L147" i="2" s="1"/>
  <c r="L148" i="2" a="1"/>
  <c r="L148" i="2" s="1"/>
  <c r="L149" i="2" a="1"/>
  <c r="L149" i="2" s="1"/>
  <c r="L150" i="2" a="1"/>
  <c r="L150" i="2" s="1"/>
  <c r="L151" i="2" a="1"/>
  <c r="L151" i="2" s="1"/>
  <c r="L152" i="2" a="1"/>
  <c r="L152" i="2" s="1"/>
  <c r="L153" i="2" a="1"/>
  <c r="L153" i="2" s="1"/>
  <c r="L154" i="2" a="1"/>
  <c r="L154" i="2" s="1"/>
  <c r="L155" i="2" a="1"/>
  <c r="L155" i="2" s="1"/>
  <c r="L156" i="2" a="1"/>
  <c r="L156" i="2" s="1"/>
  <c r="L157" i="2" a="1"/>
  <c r="L157" i="2" s="1"/>
  <c r="L158" i="2" a="1"/>
  <c r="L158" i="2" s="1"/>
  <c r="L159" i="2" a="1"/>
  <c r="L159" i="2" s="1"/>
  <c r="L160" i="2" a="1"/>
  <c r="L160" i="2" s="1"/>
  <c r="L161" i="2" a="1"/>
  <c r="L161" i="2" s="1"/>
  <c r="L162" i="2" a="1"/>
  <c r="L162" i="2" s="1"/>
  <c r="L163" i="2" a="1"/>
  <c r="L163" i="2" s="1"/>
  <c r="L164" i="2" a="1"/>
  <c r="L164" i="2" s="1"/>
  <c r="L165" i="2" a="1"/>
  <c r="L165" i="2" s="1"/>
  <c r="L166" i="2" a="1"/>
  <c r="L166" i="2" s="1"/>
  <c r="L167" i="2" a="1"/>
  <c r="L167" i="2" s="1"/>
  <c r="L168" i="2" a="1"/>
  <c r="L168" i="2" s="1"/>
  <c r="L169" i="2" a="1"/>
  <c r="L169" i="2" s="1"/>
  <c r="L170" i="2" a="1"/>
  <c r="L170" i="2" s="1"/>
  <c r="L171" i="2" a="1"/>
  <c r="L171" i="2" s="1"/>
  <c r="L172" i="2" a="1"/>
  <c r="L172" i="2" s="1"/>
  <c r="L173" i="2" a="1"/>
  <c r="L173" i="2" s="1"/>
  <c r="L174" i="2" a="1"/>
  <c r="L174" i="2" s="1"/>
  <c r="L175" i="2" a="1"/>
  <c r="L175" i="2" s="1"/>
  <c r="L176" i="2" a="1"/>
  <c r="L176" i="2" s="1"/>
  <c r="L177" i="2" a="1"/>
  <c r="L177" i="2" s="1"/>
  <c r="L178" i="2" a="1"/>
  <c r="L178" i="2" s="1"/>
  <c r="L179" i="2" a="1"/>
  <c r="L179" i="2" s="1"/>
  <c r="L180" i="2" a="1"/>
  <c r="L180" i="2" s="1"/>
  <c r="L181" i="2" a="1"/>
  <c r="L181" i="2" s="1"/>
  <c r="L182" i="2" a="1"/>
  <c r="L182" i="2" s="1"/>
  <c r="L183" i="2" a="1"/>
  <c r="L183" i="2" s="1"/>
  <c r="L184" i="2" a="1"/>
  <c r="L184" i="2" s="1"/>
  <c r="L185" i="2" a="1"/>
  <c r="L185" i="2" s="1"/>
  <c r="L186" i="2" a="1"/>
  <c r="L186" i="2" s="1"/>
  <c r="L187" i="2" a="1"/>
  <c r="L187" i="2" s="1"/>
  <c r="L188" i="2" a="1"/>
  <c r="L188" i="2" s="1"/>
  <c r="L189" i="2" a="1"/>
  <c r="L189" i="2" s="1"/>
  <c r="L190" i="2" a="1"/>
  <c r="L190" i="2" s="1"/>
  <c r="L191" i="2" a="1"/>
  <c r="L191" i="2" s="1"/>
  <c r="L192" i="2" a="1"/>
  <c r="L192" i="2" s="1"/>
  <c r="L193" i="2" a="1"/>
  <c r="L193" i="2" s="1"/>
  <c r="L194" i="2" a="1"/>
  <c r="L194" i="2" s="1"/>
  <c r="L195" i="2" a="1"/>
  <c r="L195" i="2" s="1"/>
  <c r="L196" i="2" a="1"/>
  <c r="L196" i="2" s="1"/>
  <c r="L197" i="2" a="1"/>
  <c r="L197" i="2" s="1"/>
  <c r="L198" i="2" a="1"/>
  <c r="L198" i="2" s="1"/>
  <c r="L199" i="2" a="1"/>
  <c r="L199" i="2" s="1"/>
  <c r="L200" i="2" a="1"/>
  <c r="L200" i="2" s="1"/>
  <c r="L201" i="2" a="1"/>
  <c r="L201" i="2" s="1"/>
  <c r="L202" i="2" a="1"/>
  <c r="L202" i="2" s="1"/>
  <c r="L203" i="2" a="1"/>
  <c r="L203" i="2" s="1"/>
  <c r="L204" i="2" a="1"/>
  <c r="L204" i="2" s="1"/>
  <c r="L205" i="2" a="1"/>
  <c r="L205" i="2" s="1"/>
  <c r="L206" i="2" a="1"/>
  <c r="L206" i="2" s="1"/>
  <c r="L207" i="2" a="1"/>
  <c r="L207" i="2" s="1"/>
  <c r="L208" i="2" a="1"/>
  <c r="L208" i="2" s="1"/>
  <c r="L209" i="2" a="1"/>
  <c r="L209" i="2" s="1"/>
  <c r="L210" i="2" a="1"/>
  <c r="L210" i="2" s="1"/>
  <c r="L211" i="2" a="1"/>
  <c r="L211" i="2" s="1"/>
  <c r="L212" i="2" a="1"/>
  <c r="L212" i="2" s="1"/>
  <c r="L213" i="2" a="1"/>
  <c r="L213" i="2" s="1"/>
  <c r="L214" i="2" a="1"/>
  <c r="L214" i="2" s="1"/>
  <c r="L215" i="2" a="1"/>
  <c r="L215" i="2" s="1"/>
  <c r="L216" i="2" a="1"/>
  <c r="L216" i="2" s="1"/>
  <c r="L217" i="2" a="1"/>
  <c r="L217" i="2" s="1"/>
  <c r="L218" i="2" a="1"/>
  <c r="L218" i="2" s="1"/>
  <c r="L219" i="2" a="1"/>
  <c r="L219" i="2" s="1"/>
  <c r="L220" i="2" a="1"/>
  <c r="L220" i="2" s="1"/>
  <c r="L221" i="2" a="1"/>
  <c r="L221" i="2" s="1"/>
  <c r="L222" i="2" a="1"/>
  <c r="L222" i="2" s="1"/>
  <c r="L223" i="2" a="1"/>
  <c r="L223" i="2" s="1"/>
  <c r="L224" i="2" a="1"/>
  <c r="L224" i="2" s="1"/>
  <c r="L225" i="2" a="1"/>
  <c r="L225" i="2" s="1"/>
  <c r="L226" i="2" a="1"/>
  <c r="L226" i="2" s="1"/>
  <c r="L227" i="2" a="1"/>
  <c r="L227" i="2" s="1"/>
  <c r="L228" i="2" a="1"/>
  <c r="L228" i="2" s="1"/>
  <c r="L229" i="2" a="1"/>
  <c r="L229" i="2" s="1"/>
  <c r="L230" i="2" a="1"/>
  <c r="L230" i="2" s="1"/>
  <c r="L231" i="2" a="1"/>
  <c r="L231" i="2" s="1"/>
  <c r="L232" i="2" a="1"/>
  <c r="L232" i="2" s="1"/>
  <c r="L233" i="2" a="1"/>
  <c r="L233" i="2" s="1"/>
  <c r="L234" i="2" a="1"/>
  <c r="L234" i="2" s="1"/>
  <c r="L235" i="2" a="1"/>
  <c r="L235" i="2" s="1"/>
  <c r="L236" i="2" a="1"/>
  <c r="L236" i="2" s="1"/>
  <c r="L237" i="2" a="1"/>
  <c r="L237" i="2" s="1"/>
  <c r="L238" i="2" a="1"/>
  <c r="L238" i="2" s="1"/>
  <c r="L239" i="2" a="1"/>
  <c r="L239" i="2" s="1"/>
  <c r="L240" i="2" a="1"/>
  <c r="L240" i="2" s="1"/>
  <c r="L241" i="2" a="1"/>
  <c r="L241" i="2" s="1"/>
  <c r="L242" i="2" a="1"/>
  <c r="L242" i="2" s="1"/>
  <c r="L243" i="2" a="1"/>
  <c r="L243" i="2" s="1"/>
  <c r="L244" i="2" a="1"/>
  <c r="L244" i="2" s="1"/>
  <c r="L245" i="2" a="1"/>
  <c r="L245" i="2" s="1"/>
  <c r="L246" i="2" a="1"/>
  <c r="L246" i="2" s="1"/>
  <c r="L247" i="2" a="1"/>
  <c r="L247" i="2" s="1"/>
  <c r="L248" i="2" a="1"/>
  <c r="L248" i="2" s="1"/>
  <c r="L249" i="2" a="1"/>
  <c r="L249" i="2" s="1"/>
  <c r="L250" i="2" a="1"/>
  <c r="L250" i="2" s="1"/>
  <c r="L251" i="2" a="1"/>
  <c r="L251" i="2" s="1"/>
  <c r="L252" i="2" a="1"/>
  <c r="L252" i="2" s="1"/>
  <c r="L253" i="2" a="1"/>
  <c r="L253" i="2" s="1"/>
  <c r="L254" i="2" a="1"/>
  <c r="L254" i="2" s="1"/>
  <c r="L255" i="2" a="1"/>
  <c r="L255" i="2" s="1"/>
  <c r="L256" i="2" a="1"/>
  <c r="L256" i="2" s="1"/>
  <c r="L257" i="2" a="1"/>
  <c r="L257" i="2" s="1"/>
  <c r="L258" i="2" a="1"/>
  <c r="L258" i="2" s="1"/>
  <c r="L2" i="2" a="1"/>
  <c r="L2" i="2" s="1"/>
  <c r="N2" i="2" l="1" a="1"/>
  <c r="N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<sst xmlns="http://schemas.openxmlformats.org/spreadsheetml/2006/main" count="2757" uniqueCount="127">
  <si>
    <t>Order ID</t>
  </si>
  <si>
    <t>Date</t>
  </si>
  <si>
    <t>Product</t>
  </si>
  <si>
    <t>Quantity</t>
  </si>
  <si>
    <t>Purchase Type</t>
  </si>
  <si>
    <t>Payment Method</t>
  </si>
  <si>
    <t>Manager</t>
  </si>
  <si>
    <t>City</t>
  </si>
  <si>
    <t>Fries</t>
  </si>
  <si>
    <t xml:space="preserve">Online </t>
  </si>
  <si>
    <t xml:space="preserve"> Gift Card</t>
  </si>
  <si>
    <t>Tom      Jackson</t>
  </si>
  <si>
    <t>London</t>
  </si>
  <si>
    <t>Beverages</t>
  </si>
  <si>
    <t xml:space="preserve">       Pablo Perez</t>
  </si>
  <si>
    <t>Madrid</t>
  </si>
  <si>
    <t>Sides &amp; Other</t>
  </si>
  <si>
    <t xml:space="preserve">In-store </t>
  </si>
  <si>
    <t>Joao    Silva</t>
  </si>
  <si>
    <t>Lisbon</t>
  </si>
  <si>
    <t>Burgers</t>
  </si>
  <si>
    <t xml:space="preserve"> Credit Card</t>
  </si>
  <si>
    <t>Walter Muller</t>
  </si>
  <si>
    <t>Berlin</t>
  </si>
  <si>
    <t>Chicken Sandwiches</t>
  </si>
  <si>
    <t>Remy    Monet</t>
  </si>
  <si>
    <t>Paris</t>
  </si>
  <si>
    <t>Remy Monet</t>
  </si>
  <si>
    <t xml:space="preserve">       Remy Monet</t>
  </si>
  <si>
    <t>Remy     Monet</t>
  </si>
  <si>
    <t>Pablo Perez</t>
  </si>
  <si>
    <t>Pablo   Perez</t>
  </si>
  <si>
    <t>Pablo  Perez</t>
  </si>
  <si>
    <t>Pablo    Perez</t>
  </si>
  <si>
    <t>Joao Silva</t>
  </si>
  <si>
    <t xml:space="preserve">Drive-thru </t>
  </si>
  <si>
    <t xml:space="preserve"> Cash</t>
  </si>
  <si>
    <t>Tom Jackson</t>
  </si>
  <si>
    <t>Price</t>
  </si>
  <si>
    <t>Country</t>
  </si>
  <si>
    <t>Revenue</t>
  </si>
  <si>
    <t>Sales Status</t>
  </si>
  <si>
    <t>Month</t>
  </si>
  <si>
    <t>Day</t>
  </si>
  <si>
    <t>FATURES OF PIVOT TABLE</t>
  </si>
  <si>
    <t xml:space="preserve">1. Summarizing Data: Pivot tables automatically aggregate data based on chosen categories, providing summaries like sums, counts, averages, maximums, or minimums. </t>
  </si>
  <si>
    <t xml:space="preserve">2. Grouping: Data can be grouped by various criteria, allowing for hierarchical analysis and drill-down capabilities. </t>
  </si>
  <si>
    <t xml:space="preserve">3. Calculations: Pivot tables can perform calculations on the data, such as calculating percentages, running totals, or differences from previous periods. </t>
  </si>
  <si>
    <t xml:space="preserve">4. Subtotals and Grand totals: Pivot tables can automatically calculate subtotals for groups and grand totals for the entire dataset. </t>
  </si>
  <si>
    <t xml:space="preserve">5. Filtering: Pivot tables allow users to filter data based on specific criteria, allowing for focused analysis. </t>
  </si>
  <si>
    <t xml:space="preserve">6. Sorting: Data can be sorted within the pivot table, both alphabetically and numerically, based on values or labels. </t>
  </si>
  <si>
    <t xml:space="preserve">7. Rotating rows and columns: The ability to pivot rows and columns allows for different views of the same data, making it easier to spot trends and patterns. </t>
  </si>
  <si>
    <t xml:space="preserve">8. Conditional Formatting: Pivot tables can be formatted based on specific conditions, highlighting important data points. </t>
  </si>
  <si>
    <t xml:space="preserve">9. Pivot charts: Pivot tables can be linked to pivot charts, allowing for visual representation of the data and further analysis. </t>
  </si>
  <si>
    <t xml:space="preserve">10. Slicers: Slicers can be added to pivot tables to provide an interactive way to filter data. </t>
  </si>
  <si>
    <t>Sum of Revenue</t>
  </si>
  <si>
    <t>France</t>
  </si>
  <si>
    <t>Germany</t>
  </si>
  <si>
    <t>Portugal</t>
  </si>
  <si>
    <t>Spain</t>
  </si>
  <si>
    <t>United Kingdom</t>
  </si>
  <si>
    <t>Count of Order ID</t>
  </si>
  <si>
    <t>December</t>
  </si>
  <si>
    <t>Thursday</t>
  </si>
  <si>
    <t>Wednesday</t>
  </si>
  <si>
    <t>Tuesday</t>
  </si>
  <si>
    <t>November</t>
  </si>
  <si>
    <t>Sunday</t>
  </si>
  <si>
    <t>Saturday</t>
  </si>
  <si>
    <t>Friday</t>
  </si>
  <si>
    <t>Monday</t>
  </si>
  <si>
    <t>Days (Date)</t>
  </si>
  <si>
    <t>13-Nov</t>
  </si>
  <si>
    <t>14-Nov</t>
  </si>
  <si>
    <t>22-Dec</t>
  </si>
  <si>
    <t>26-Dec</t>
  </si>
  <si>
    <t>27-Dec</t>
  </si>
  <si>
    <t>28-Dec</t>
  </si>
  <si>
    <t>Sum of Quantity</t>
  </si>
  <si>
    <t>Average of Price</t>
  </si>
  <si>
    <t>21-Dec</t>
  </si>
  <si>
    <t>18-Dec</t>
  </si>
  <si>
    <t>25-Dec</t>
  </si>
  <si>
    <t>20-Dec</t>
  </si>
  <si>
    <t>17-Dec</t>
  </si>
  <si>
    <t>19-Dec</t>
  </si>
  <si>
    <t>24-Dec</t>
  </si>
  <si>
    <t>23-Dec</t>
  </si>
  <si>
    <t>16-Dec</t>
  </si>
  <si>
    <t>11-Dec</t>
  </si>
  <si>
    <t>29-Dec</t>
  </si>
  <si>
    <t>21-Nov</t>
  </si>
  <si>
    <t>23-Nov</t>
  </si>
  <si>
    <t>18-Nov</t>
  </si>
  <si>
    <t>22-Nov</t>
  </si>
  <si>
    <t>14-Dec</t>
  </si>
  <si>
    <t>12-Dec</t>
  </si>
  <si>
    <t>09-Dec</t>
  </si>
  <si>
    <t>13-Dec</t>
  </si>
  <si>
    <t>10-Dec</t>
  </si>
  <si>
    <t>19-Nov</t>
  </si>
  <si>
    <t>15-Dec</t>
  </si>
  <si>
    <t>11-Nov</t>
  </si>
  <si>
    <t>24-Nov</t>
  </si>
  <si>
    <t>08-Dec</t>
  </si>
  <si>
    <t>27-Nov</t>
  </si>
  <si>
    <t>25-Nov</t>
  </si>
  <si>
    <t>02-Dec</t>
  </si>
  <si>
    <t>12-Nov</t>
  </si>
  <si>
    <t>17-Nov</t>
  </si>
  <si>
    <t>07-Dec</t>
  </si>
  <si>
    <t>03-Dec</t>
  </si>
  <si>
    <t>26-Nov</t>
  </si>
  <si>
    <t>09-Nov</t>
  </si>
  <si>
    <t>05-Dec</t>
  </si>
  <si>
    <t>30-Nov</t>
  </si>
  <si>
    <t>06-Dec</t>
  </si>
  <si>
    <t>29-Nov</t>
  </si>
  <si>
    <t>28-Nov</t>
  </si>
  <si>
    <t>15-Nov</t>
  </si>
  <si>
    <t>16-Nov</t>
  </si>
  <si>
    <t>01-Dec</t>
  </si>
  <si>
    <t>10-Nov</t>
  </si>
  <si>
    <t>08-Nov</t>
  </si>
  <si>
    <t>07-Nov</t>
  </si>
  <si>
    <t>04-Dec</t>
  </si>
  <si>
    <t>20-Nov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</si>
</sst>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0" xfId="0" applyFont="1" applyFill="1" applyAlignment="1">
      <alignment horizontal="center" vertical="center"/>
    </xf>
    <xf numFmtId="44" fontId="2" fillId="2" borderId="0" xfId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44" fontId="0" fillId="0" borderId="0" xfId="1" applyFon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2" fillId="2" borderId="0" xfId="1" applyNumberFormat="1" applyFont="1" applyFill="1" applyAlignment="1">
      <alignment horizontal="center" vertical="center" wrapText="1"/>
    </xf>
    <xf numFmtId="164" fontId="0" fillId="0" borderId="0" xfId="1" applyNumberFormat="1" applyFont="1" applyAlignment="1">
      <alignment horizontal="center"/>
    </xf>
    <xf numFmtId="164" fontId="0" fillId="0" borderId="0" xfId="0" applyNumberFormat="1"/>
    <xf numFmtId="0" fontId="5" fillId="0" borderId="0" xfId="0" applyFont="1"/>
    <xf numFmtId="0" fontId="0" fillId="0" borderId="0" xfId="0" pivotButton="1"/>
    <xf numFmtId="165" fontId="0" fillId="0" borderId="0" xfId="0" applyNumberFormat="1"/>
    <xf numFmtId="44" fontId="0" fillId="0" borderId="0" xfId="0" applyNumberFormat="1"/>
    <xf numFmtId="41" fontId="0" fillId="0" borderId="0" xfId="0" applyNumberFormat="1"/>
    <xf numFmtId="0" fontId="5" fillId="0" borderId="0" xfId="0" applyFont="1"/>
    <xf numFmtId="0" fontId="6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34">
    <dxf>
      <fill>
        <patternFill>
          <bgColor rgb="FFF53737"/>
        </patternFill>
      </fill>
    </dxf>
    <dxf>
      <fill>
        <patternFill>
          <bgColor rgb="FF2A4DFA"/>
        </patternFill>
      </fill>
    </dxf>
    <dxf>
      <fill>
        <patternFill>
          <bgColor rgb="FF2CFA22"/>
        </patternFill>
      </fill>
    </dxf>
    <dxf>
      <fill>
        <patternFill>
          <bgColor rgb="FFF85528"/>
        </patternFill>
      </fill>
    </dxf>
    <dxf>
      <fill>
        <patternFill>
          <bgColor rgb="FF745DFD"/>
        </patternFill>
      </fill>
    </dxf>
    <dxf>
      <fill>
        <patternFill>
          <bgColor rgb="FF5AFC6D"/>
        </patternFill>
      </fill>
    </dxf>
    <dxf>
      <numFmt numFmtId="165" formatCode="_(* #,##0_);_(* \(#,##0\);_(* &quot;-&quot;??_);_(@_)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3" formatCode="_(* #,##0_);_(* \(#,##0\);_(* &quot;-&quot;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  <alignment horizontal="center" vertical="bottom" textRotation="0" wrapText="0" indent="0" justifyLastLine="0" shrinkToFit="0" readingOrder="0"/>
    </dxf>
    <dxf>
      <numFmt numFmtId="19" formatCode="yyyy/mm/dd"/>
      <alignment horizontal="left" vertical="bottom" textRotation="0" wrapText="0" indent="0" justifyLastLine="0" shrinkToFit="0" readingOrder="0"/>
    </dxf>
    <dxf>
      <numFmt numFmtId="19" formatCode="yyyy/mm/dd"/>
      <alignment horizontal="left" vertical="bottom" textRotation="0" wrapText="0" indent="0" justifyLastLine="0" shrinkToFit="0" readingOrder="0"/>
    </dxf>
    <dxf>
      <numFmt numFmtId="19" formatCode="yyyy/mm/dd"/>
      <alignment horizontal="left" vertical="bottom" textRotation="0" wrapText="0" indent="0" justifyLastLine="0" shrinkToFit="0" readingOrder="0"/>
    </dxf>
    <dxf>
      <numFmt numFmtId="19" formatCode="yyyy/mm/dd"/>
      <alignment horizontal="left" vertical="bottom" textRotation="0" wrapText="0" indent="0" justifyLastLine="0" shrinkToFit="0" readingOrder="0"/>
    </dxf>
    <dxf>
      <numFmt numFmtId="19" formatCode="yyyy/mm/dd"/>
      <alignment horizontal="left" vertical="bottom" textRotation="0" wrapText="0" indent="0" justifyLastLine="0" shrinkToFit="0" readingOrder="0"/>
    </dxf>
    <dxf>
      <numFmt numFmtId="19" formatCode="yyyy/mm/dd"/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7367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2CFA22"/>
      <color rgb="FF2A4DFA"/>
      <color rgb="FFF53737"/>
      <color rgb="FF5AFC6D"/>
      <color rgb="FF745DFD"/>
      <color rgb="FFF85528"/>
      <color rgb="FFF83E30"/>
      <color rgb="FFF64440"/>
      <color rgb="FFFB4C15"/>
      <color rgb="FF8469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 Activity.xlsx]Pivot Table!PivotTable2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Revenue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Table'!$F$8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Table'!$E$9:$E$13</c:f>
              <c:strCache>
                <c:ptCount val="5"/>
                <c:pt idx="0">
                  <c:v>Lisbon</c:v>
                </c:pt>
                <c:pt idx="1">
                  <c:v>London</c:v>
                </c:pt>
                <c:pt idx="2">
                  <c:v>Madrid</c:v>
                </c:pt>
                <c:pt idx="3">
                  <c:v>Berlin</c:v>
                </c:pt>
                <c:pt idx="4">
                  <c:v>Paris</c:v>
                </c:pt>
              </c:strCache>
            </c:strRef>
          </c:cat>
          <c:val>
            <c:numRef>
              <c:f>'Pivot Table'!$F$9:$F$13</c:f>
              <c:numCache>
                <c:formatCode>_("$"* #,##0_);_("$"* \(#,##0\);_("$"* "-"??_);_(@_)</c:formatCode>
                <c:ptCount val="5"/>
                <c:pt idx="0">
                  <c:v>239549</c:v>
                </c:pt>
                <c:pt idx="1">
                  <c:v>216969</c:v>
                </c:pt>
                <c:pt idx="2">
                  <c:v>139144</c:v>
                </c:pt>
                <c:pt idx="3">
                  <c:v>102837</c:v>
                </c:pt>
                <c:pt idx="4">
                  <c:v>81954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0-4812-88A2-7883CFF5C8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52466496"/>
        <c:axId val="1352469856"/>
      </c:barChart>
      <c:catAx>
        <c:axId val="135246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469856"/>
        <c:crosses val="autoZero"/>
        <c:auto val="1"/>
        <c:lblAlgn val="ctr"/>
        <c:lblOffset val="100"/>
        <c:noMultiLvlLbl val="0"/>
      </c:catAx>
      <c:valAx>
        <c:axId val="1352469856"/>
        <c:scaling>
          <c:orientation val="minMax"/>
        </c:scaling>
        <c:delete val="1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crossAx val="135246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 Activity.xlsx]Pivot Table!PivotTable21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Managers</a:t>
            </a:r>
            <a:r>
              <a:rPr lang="en-US" baseline="0"/>
              <a:t> Sales Performance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Table'!$G$32:$G$33</c:f>
              <c:strCache>
                <c:ptCount val="1"/>
                <c:pt idx="0">
                  <c:v>Berlin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Table'!$F$34:$F$38</c:f>
              <c:strCache>
                <c:ptCount val="5"/>
                <c:pt idx="0">
                  <c:v>Joao Silva</c:v>
                </c:pt>
                <c:pt idx="1">
                  <c:v>Pablo Perez</c:v>
                </c:pt>
                <c:pt idx="2">
                  <c:v>Remy Monet</c:v>
                </c:pt>
                <c:pt idx="3">
                  <c:v>Tom Jackson</c:v>
                </c:pt>
                <c:pt idx="4">
                  <c:v>Walter Muller</c:v>
                </c:pt>
              </c:strCache>
            </c:strRef>
          </c:cat>
          <c:val>
            <c:numRef>
              <c:f>'Pivot Table'!$G$34:$G$38</c:f>
              <c:numCache>
                <c:formatCode>_("$"* #,##0_);_("$"* \(#,##0\);_("$"* "-"??_);_(@_)</c:formatCode>
                <c:ptCount val="5"/>
                <c:pt idx="4">
                  <c:v>102837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3-4EEE-9C84-7AB88B0FC35C}"/>
            </c:ext>
          </c:extLst>
        </c:ser>
        <c:ser>
          <c:idx val="1"/>
          <c:order val="1"/>
          <c:tx>
            <c:strRef>
              <c:f>'Pivot Table'!$H$32:$H$33</c:f>
              <c:strCache>
                <c:ptCount val="1"/>
                <c:pt idx="0">
                  <c:v>Lisbon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Table'!$F$34:$F$38</c:f>
              <c:strCache>
                <c:ptCount val="5"/>
                <c:pt idx="0">
                  <c:v>Joao Silva</c:v>
                </c:pt>
                <c:pt idx="1">
                  <c:v>Pablo Perez</c:v>
                </c:pt>
                <c:pt idx="2">
                  <c:v>Remy Monet</c:v>
                </c:pt>
                <c:pt idx="3">
                  <c:v>Tom Jackson</c:v>
                </c:pt>
                <c:pt idx="4">
                  <c:v>Walter Muller</c:v>
                </c:pt>
              </c:strCache>
            </c:strRef>
          </c:cat>
          <c:val>
            <c:numRef>
              <c:f>'Pivot Table'!$H$34:$H$38</c:f>
              <c:numCache>
                <c:formatCode>_("$"* #,##0_);_("$"* \(#,##0\);_("$"* "-"??_);_(@_)</c:formatCode>
                <c:ptCount val="5"/>
                <c:pt idx="0">
                  <c:v>239549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13-4EEE-9C84-7AB88B0FC35C}"/>
            </c:ext>
          </c:extLst>
        </c:ser>
        <c:ser>
          <c:idx val="2"/>
          <c:order val="2"/>
          <c:tx>
            <c:strRef>
              <c:f>'Pivot Table'!$I$32:$I$33</c:f>
              <c:strCache>
                <c:ptCount val="1"/>
                <c:pt idx="0">
                  <c:v>London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Table'!$F$34:$F$38</c:f>
              <c:strCache>
                <c:ptCount val="5"/>
                <c:pt idx="0">
                  <c:v>Joao Silva</c:v>
                </c:pt>
                <c:pt idx="1">
                  <c:v>Pablo Perez</c:v>
                </c:pt>
                <c:pt idx="2">
                  <c:v>Remy Monet</c:v>
                </c:pt>
                <c:pt idx="3">
                  <c:v>Tom Jackson</c:v>
                </c:pt>
                <c:pt idx="4">
                  <c:v>Walter Muller</c:v>
                </c:pt>
              </c:strCache>
            </c:strRef>
          </c:cat>
          <c:val>
            <c:numRef>
              <c:f>'Pivot Table'!$I$34:$I$38</c:f>
              <c:numCache>
                <c:formatCode>_("$"* #,##0_);_("$"* \(#,##0\);_("$"* "-"??_);_(@_)</c:formatCode>
                <c:ptCount val="5"/>
                <c:pt idx="3">
                  <c:v>216969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13-4EEE-9C84-7AB88B0FC35C}"/>
            </c:ext>
          </c:extLst>
        </c:ser>
        <c:ser>
          <c:idx val="3"/>
          <c:order val="3"/>
          <c:tx>
            <c:strRef>
              <c:f>'Pivot Table'!$J$32:$J$33</c:f>
              <c:strCache>
                <c:ptCount val="1"/>
                <c:pt idx="0">
                  <c:v>Madrid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Table'!$F$34:$F$38</c:f>
              <c:strCache>
                <c:ptCount val="5"/>
                <c:pt idx="0">
                  <c:v>Joao Silva</c:v>
                </c:pt>
                <c:pt idx="1">
                  <c:v>Pablo Perez</c:v>
                </c:pt>
                <c:pt idx="2">
                  <c:v>Remy Monet</c:v>
                </c:pt>
                <c:pt idx="3">
                  <c:v>Tom Jackson</c:v>
                </c:pt>
                <c:pt idx="4">
                  <c:v>Walter Muller</c:v>
                </c:pt>
              </c:strCache>
            </c:strRef>
          </c:cat>
          <c:val>
            <c:numRef>
              <c:f>'Pivot Table'!$J$34:$J$38</c:f>
              <c:numCache>
                <c:formatCode>_("$"* #,##0_);_("$"* \(#,##0\);_("$"* "-"??_);_(@_)</c:formatCode>
                <c:ptCount val="5"/>
                <c:pt idx="1">
                  <c:v>139144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13-4EEE-9C84-7AB88B0FC35C}"/>
            </c:ext>
          </c:extLst>
        </c:ser>
        <c:ser>
          <c:idx val="4"/>
          <c:order val="4"/>
          <c:tx>
            <c:strRef>
              <c:f>'Pivot Table'!$K$32:$K$33</c:f>
              <c:strCache>
                <c:ptCount val="1"/>
                <c:pt idx="0">
                  <c:v>Paris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Table'!$F$34:$F$38</c:f>
              <c:strCache>
                <c:ptCount val="5"/>
                <c:pt idx="0">
                  <c:v>Joao Silva</c:v>
                </c:pt>
                <c:pt idx="1">
                  <c:v>Pablo Perez</c:v>
                </c:pt>
                <c:pt idx="2">
                  <c:v>Remy Monet</c:v>
                </c:pt>
                <c:pt idx="3">
                  <c:v>Tom Jackson</c:v>
                </c:pt>
                <c:pt idx="4">
                  <c:v>Walter Muller</c:v>
                </c:pt>
              </c:strCache>
            </c:strRef>
          </c:cat>
          <c:val>
            <c:numRef>
              <c:f>'Pivot Table'!$K$34:$K$38</c:f>
              <c:numCache>
                <c:formatCode>_("$"* #,##0_);_("$"* \(#,##0\);_("$"* "-"??_);_(@_)</c:formatCode>
                <c:ptCount val="5"/>
                <c:pt idx="2">
                  <c:v>81954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13-4EEE-9C84-7AB88B0FC3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99664"/>
        <c:axId val="11681424"/>
      </c:barChart>
      <c:catAx>
        <c:axId val="1169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1424"/>
        <c:crosses val="autoZero"/>
        <c:auto val="1"/>
        <c:lblAlgn val="ctr"/>
        <c:lblOffset val="100"/>
        <c:noMultiLvlLbl val="0"/>
      </c:catAx>
      <c:valAx>
        <c:axId val="11681424"/>
        <c:scaling>
          <c:orientation val="minMax"/>
        </c:scaling>
        <c:delete val="1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crossAx val="1169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 Activity.xlsx]Pivot Table!PivotTable16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Table'!$N$8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Table'!$M$9:$M$13</c:f>
              <c:strCache>
                <c:ptCount val="5"/>
                <c:pt idx="0">
                  <c:v>Burgers</c:v>
                </c:pt>
                <c:pt idx="1">
                  <c:v>Fries</c:v>
                </c:pt>
                <c:pt idx="2">
                  <c:v>Chicken Sandwiches</c:v>
                </c:pt>
                <c:pt idx="3">
                  <c:v>Beverages</c:v>
                </c:pt>
                <c:pt idx="4">
                  <c:v>Sides &amp; Other</c:v>
                </c:pt>
              </c:strCache>
            </c:strRef>
          </c:cat>
          <c:val>
            <c:numRef>
              <c:f>'Pivot Table'!$N$9:$N$13</c:f>
              <c:numCache>
                <c:formatCode>_("$"* #,##0_);_("$"* \(#,##0\);_("$"* "-"??_);_(@_)</c:formatCode>
                <c:ptCount val="5"/>
                <c:pt idx="0">
                  <c:v>384033</c:v>
                </c:pt>
                <c:pt idx="1">
                  <c:v>128092</c:v>
                </c:pt>
                <c:pt idx="2">
                  <c:v>111330</c:v>
                </c:pt>
                <c:pt idx="3">
                  <c:v>106998</c:v>
                </c:pt>
                <c:pt idx="4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2F-483B-8ECA-A6F52E1ECB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38685840"/>
        <c:axId val="1238668560"/>
      </c:barChart>
      <c:catAx>
        <c:axId val="123868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668560"/>
        <c:crosses val="autoZero"/>
        <c:auto val="1"/>
        <c:lblAlgn val="ctr"/>
        <c:lblOffset val="100"/>
        <c:noMultiLvlLbl val="0"/>
      </c:catAx>
      <c:valAx>
        <c:axId val="1238668560"/>
        <c:scaling>
          <c:orientation val="minMax"/>
        </c:scaling>
        <c:delete val="1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crossAx val="123868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 Activity.xlsx]Pivot Table!PivotTable17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Comparism Of Purchase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085127443702055"/>
              <c:y val="9.131103421760861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7322444939371445"/>
              <c:y val="5.286428296808910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7631774313288789"/>
              <c:y val="-3.844675124951946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085127443702055"/>
              <c:y val="9.131103421760861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7322444939371445"/>
              <c:y val="5.286428296808910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7631774313288789"/>
              <c:y val="-3.844675124951946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085127443702055"/>
              <c:y val="9.131103421760861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7322444939371445"/>
              <c:y val="5.286428296808910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7631774313288789"/>
              <c:y val="-3.844675124951946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Table'!$B$21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17B-43EA-B665-FC28EF3EC5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7B-43EA-B665-FC28EF3EC50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17B-43EA-B665-FC28EF3EC503}"/>
              </c:ext>
            </c:extLst>
          </c:dPt>
          <c:dLbls>
            <c:dLbl>
              <c:idx val="0"/>
              <c:layout>
                <c:manualLayout>
                  <c:x val="0.16085127443702055"/>
                  <c:y val="9.1311034217608611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17B-43EA-B665-FC28EF3EC503}"/>
                </c:ext>
              </c:extLst>
            </c:dLbl>
            <c:dLbl>
              <c:idx val="1"/>
              <c:layout>
                <c:manualLayout>
                  <c:x val="-0.17322444939371445"/>
                  <c:y val="5.286428296808910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17B-43EA-B665-FC28EF3EC503}"/>
                </c:ext>
              </c:extLst>
            </c:dLbl>
            <c:dLbl>
              <c:idx val="2"/>
              <c:layout>
                <c:manualLayout>
                  <c:x val="-0.17631774313288789"/>
                  <c:y val="-3.844675124951946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17B-43EA-B665-FC28EF3EC503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Table'!$A$22:$A$24</c:f>
              <c:strCache>
                <c:ptCount val="3"/>
                <c:pt idx="0">
                  <c:v>Online </c:v>
                </c:pt>
                <c:pt idx="1">
                  <c:v>In-store </c:v>
                </c:pt>
                <c:pt idx="2">
                  <c:v>Drive-thru </c:v>
                </c:pt>
              </c:strCache>
            </c:strRef>
          </c:cat>
          <c:val>
            <c:numRef>
              <c:f>'Pivot Table'!$B$22:$B$24</c:f>
              <c:numCache>
                <c:formatCode>General</c:formatCode>
                <c:ptCount val="3"/>
                <c:pt idx="0">
                  <c:v>107</c:v>
                </c:pt>
                <c:pt idx="1">
                  <c:v>89</c:v>
                </c:pt>
                <c:pt idx="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7B-43EA-B665-FC28EF3EC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 Activity.xlsx]Pivot Table!PivotTable18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Comparism</a:t>
            </a:r>
            <a:r>
              <a:rPr lang="en-US" baseline="0"/>
              <a:t> of payment method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919821826280623"/>
              <c:y val="0.1441753171856978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610492452363276"/>
              <c:y val="9.131103421760852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085127443702057"/>
              <c:y val="-5.76701268742791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919821826280623"/>
              <c:y val="0.1441753171856978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610492452363276"/>
              <c:y val="9.131103421760852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085127443702057"/>
              <c:y val="-5.76701268742791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919821826280623"/>
              <c:y val="0.1441753171856978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610492452363276"/>
              <c:y val="9.131103421760852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085127443702057"/>
              <c:y val="-5.76701268742791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Table'!$G$21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0E-4F0F-8722-9127FCE717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0E-4F0F-8722-9127FCE717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10E-4F0F-8722-9127FCE71759}"/>
              </c:ext>
            </c:extLst>
          </c:dPt>
          <c:dLbls>
            <c:dLbl>
              <c:idx val="0"/>
              <c:layout>
                <c:manualLayout>
                  <c:x val="0.13919821826280623"/>
                  <c:y val="0.1441753171856978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10E-4F0F-8722-9127FCE71759}"/>
                </c:ext>
              </c:extLst>
            </c:dLbl>
            <c:dLbl>
              <c:idx val="1"/>
              <c:layout>
                <c:manualLayout>
                  <c:x val="-0.13610492452363276"/>
                  <c:y val="9.131103421760852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10E-4F0F-8722-9127FCE71759}"/>
                </c:ext>
              </c:extLst>
            </c:dLbl>
            <c:dLbl>
              <c:idx val="2"/>
              <c:layout>
                <c:manualLayout>
                  <c:x val="-0.16085127443702057"/>
                  <c:y val="-5.767012687427916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10E-4F0F-8722-9127FCE7175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Table'!$F$22:$F$24</c:f>
              <c:strCache>
                <c:ptCount val="3"/>
                <c:pt idx="0">
                  <c:v> Credit Card</c:v>
                </c:pt>
                <c:pt idx="1">
                  <c:v> Cash</c:v>
                </c:pt>
                <c:pt idx="2">
                  <c:v> Gift Card</c:v>
                </c:pt>
              </c:strCache>
            </c:strRef>
          </c:cat>
          <c:val>
            <c:numRef>
              <c:f>'Pivot Table'!$G$22:$G$24</c:f>
              <c:numCache>
                <c:formatCode>General</c:formatCode>
                <c:ptCount val="3"/>
                <c:pt idx="0">
                  <c:v>123</c:v>
                </c:pt>
                <c:pt idx="1">
                  <c:v>76</c:v>
                </c:pt>
                <c:pt idx="2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10E-4F0F-8722-9127FCE71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 Activity.xlsx]Pivot Table!PivotTable19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sales volume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190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27445024428127"/>
          <c:y val="0.25006742179072278"/>
          <c:w val="0.86405059620356439"/>
          <c:h val="0.48890460294404947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Table'!$B$32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Table'!$A$33:$A$85</c:f>
              <c:strCache>
                <c:ptCount val="53"/>
                <c:pt idx="0">
                  <c:v>07-Nov</c:v>
                </c:pt>
                <c:pt idx="1">
                  <c:v>08-Nov</c:v>
                </c:pt>
                <c:pt idx="2">
                  <c:v>09-Nov</c:v>
                </c:pt>
                <c:pt idx="3">
                  <c:v>10-Nov</c:v>
                </c:pt>
                <c:pt idx="4">
                  <c:v>11-Nov</c:v>
                </c:pt>
                <c:pt idx="5">
                  <c:v>12-Nov</c:v>
                </c:pt>
                <c:pt idx="6">
                  <c:v>13-Nov</c:v>
                </c:pt>
                <c:pt idx="7">
                  <c:v>14-Nov</c:v>
                </c:pt>
                <c:pt idx="8">
                  <c:v>15-Nov</c:v>
                </c:pt>
                <c:pt idx="9">
                  <c:v>16-Nov</c:v>
                </c:pt>
                <c:pt idx="10">
                  <c:v>17-Nov</c:v>
                </c:pt>
                <c:pt idx="11">
                  <c:v>18-Nov</c:v>
                </c:pt>
                <c:pt idx="12">
                  <c:v>19-Nov</c:v>
                </c:pt>
                <c:pt idx="13">
                  <c:v>20-Nov</c:v>
                </c:pt>
                <c:pt idx="14">
                  <c:v>21-Nov</c:v>
                </c:pt>
                <c:pt idx="15">
                  <c:v>22-Nov</c:v>
                </c:pt>
                <c:pt idx="16">
                  <c:v>23-Nov</c:v>
                </c:pt>
                <c:pt idx="17">
                  <c:v>24-Nov</c:v>
                </c:pt>
                <c:pt idx="18">
                  <c:v>25-Nov</c:v>
                </c:pt>
                <c:pt idx="19">
                  <c:v>26-Nov</c:v>
                </c:pt>
                <c:pt idx="20">
                  <c:v>27-Nov</c:v>
                </c:pt>
                <c:pt idx="21">
                  <c:v>28-Nov</c:v>
                </c:pt>
                <c:pt idx="22">
                  <c:v>29-Nov</c:v>
                </c:pt>
                <c:pt idx="23">
                  <c:v>30-Nov</c:v>
                </c:pt>
                <c:pt idx="24">
                  <c:v>01-Dec</c:v>
                </c:pt>
                <c:pt idx="25">
                  <c:v>02-Dec</c:v>
                </c:pt>
                <c:pt idx="26">
                  <c:v>03-Dec</c:v>
                </c:pt>
                <c:pt idx="27">
                  <c:v>04-Dec</c:v>
                </c:pt>
                <c:pt idx="28">
                  <c:v>05-Dec</c:v>
                </c:pt>
                <c:pt idx="29">
                  <c:v>06-Dec</c:v>
                </c:pt>
                <c:pt idx="30">
                  <c:v>07-Dec</c:v>
                </c:pt>
                <c:pt idx="31">
                  <c:v>08-Dec</c:v>
                </c:pt>
                <c:pt idx="32">
                  <c:v>09-Dec</c:v>
                </c:pt>
                <c:pt idx="33">
                  <c:v>10-Dec</c:v>
                </c:pt>
                <c:pt idx="34">
                  <c:v>11-Dec</c:v>
                </c:pt>
                <c:pt idx="35">
                  <c:v>12-Dec</c:v>
                </c:pt>
                <c:pt idx="36">
                  <c:v>13-Dec</c:v>
                </c:pt>
                <c:pt idx="37">
                  <c:v>14-Dec</c:v>
                </c:pt>
                <c:pt idx="38">
                  <c:v>15-Dec</c:v>
                </c:pt>
                <c:pt idx="39">
                  <c:v>16-Dec</c:v>
                </c:pt>
                <c:pt idx="40">
                  <c:v>17-Dec</c:v>
                </c:pt>
                <c:pt idx="41">
                  <c:v>18-Dec</c:v>
                </c:pt>
                <c:pt idx="42">
                  <c:v>19-Dec</c:v>
                </c:pt>
                <c:pt idx="43">
                  <c:v>20-Dec</c:v>
                </c:pt>
                <c:pt idx="44">
                  <c:v>21-Dec</c:v>
                </c:pt>
                <c:pt idx="45">
                  <c:v>22-Dec</c:v>
                </c:pt>
                <c:pt idx="46">
                  <c:v>23-Dec</c:v>
                </c:pt>
                <c:pt idx="47">
                  <c:v>24-Dec</c:v>
                </c:pt>
                <c:pt idx="48">
                  <c:v>25-Dec</c:v>
                </c:pt>
                <c:pt idx="49">
                  <c:v>26-Dec</c:v>
                </c:pt>
                <c:pt idx="50">
                  <c:v>27-Dec</c:v>
                </c:pt>
                <c:pt idx="51">
                  <c:v>28-Dec</c:v>
                </c:pt>
                <c:pt idx="52">
                  <c:v>29-Dec</c:v>
                </c:pt>
              </c:strCache>
            </c:strRef>
          </c:cat>
          <c:val>
            <c:numRef>
              <c:f>'Pivot Table'!$B$33:$B$85</c:f>
              <c:numCache>
                <c:formatCode>General</c:formatCode>
                <c:ptCount val="53"/>
                <c:pt idx="0">
                  <c:v>1519</c:v>
                </c:pt>
                <c:pt idx="1">
                  <c:v>1544</c:v>
                </c:pt>
                <c:pt idx="2">
                  <c:v>2206</c:v>
                </c:pt>
                <c:pt idx="3">
                  <c:v>2006</c:v>
                </c:pt>
                <c:pt idx="4">
                  <c:v>2263</c:v>
                </c:pt>
                <c:pt idx="5">
                  <c:v>2232</c:v>
                </c:pt>
                <c:pt idx="6">
                  <c:v>3095</c:v>
                </c:pt>
                <c:pt idx="7">
                  <c:v>2755</c:v>
                </c:pt>
                <c:pt idx="8">
                  <c:v>2160</c:v>
                </c:pt>
                <c:pt idx="9">
                  <c:v>2160</c:v>
                </c:pt>
                <c:pt idx="10">
                  <c:v>2232</c:v>
                </c:pt>
                <c:pt idx="11">
                  <c:v>2306</c:v>
                </c:pt>
                <c:pt idx="12">
                  <c:v>2275</c:v>
                </c:pt>
                <c:pt idx="13">
                  <c:v>678</c:v>
                </c:pt>
                <c:pt idx="14">
                  <c:v>2328</c:v>
                </c:pt>
                <c:pt idx="15">
                  <c:v>2297</c:v>
                </c:pt>
                <c:pt idx="16">
                  <c:v>2312</c:v>
                </c:pt>
                <c:pt idx="17">
                  <c:v>2254</c:v>
                </c:pt>
                <c:pt idx="18">
                  <c:v>2239</c:v>
                </c:pt>
                <c:pt idx="19">
                  <c:v>2223</c:v>
                </c:pt>
                <c:pt idx="20">
                  <c:v>2239</c:v>
                </c:pt>
                <c:pt idx="21">
                  <c:v>2186</c:v>
                </c:pt>
                <c:pt idx="22">
                  <c:v>2186</c:v>
                </c:pt>
                <c:pt idx="23">
                  <c:v>2202</c:v>
                </c:pt>
                <c:pt idx="24">
                  <c:v>2145</c:v>
                </c:pt>
                <c:pt idx="25">
                  <c:v>2232</c:v>
                </c:pt>
                <c:pt idx="26">
                  <c:v>2232</c:v>
                </c:pt>
                <c:pt idx="27">
                  <c:v>740</c:v>
                </c:pt>
                <c:pt idx="28">
                  <c:v>2206</c:v>
                </c:pt>
                <c:pt idx="29">
                  <c:v>2191</c:v>
                </c:pt>
                <c:pt idx="30">
                  <c:v>2232</c:v>
                </c:pt>
                <c:pt idx="31">
                  <c:v>2248</c:v>
                </c:pt>
                <c:pt idx="32">
                  <c:v>2279</c:v>
                </c:pt>
                <c:pt idx="33">
                  <c:v>2279</c:v>
                </c:pt>
                <c:pt idx="34">
                  <c:v>2362</c:v>
                </c:pt>
                <c:pt idx="35">
                  <c:v>2279</c:v>
                </c:pt>
                <c:pt idx="36">
                  <c:v>2279</c:v>
                </c:pt>
                <c:pt idx="37">
                  <c:v>2283</c:v>
                </c:pt>
                <c:pt idx="38">
                  <c:v>2268</c:v>
                </c:pt>
                <c:pt idx="39">
                  <c:v>2367</c:v>
                </c:pt>
                <c:pt idx="40">
                  <c:v>2440</c:v>
                </c:pt>
                <c:pt idx="41">
                  <c:v>2455</c:v>
                </c:pt>
                <c:pt idx="42">
                  <c:v>2428</c:v>
                </c:pt>
                <c:pt idx="43">
                  <c:v>2444</c:v>
                </c:pt>
                <c:pt idx="44">
                  <c:v>2474</c:v>
                </c:pt>
                <c:pt idx="45">
                  <c:v>2494</c:v>
                </c:pt>
                <c:pt idx="46">
                  <c:v>2396</c:v>
                </c:pt>
                <c:pt idx="47">
                  <c:v>2426</c:v>
                </c:pt>
                <c:pt idx="48">
                  <c:v>2446</c:v>
                </c:pt>
                <c:pt idx="49">
                  <c:v>2482</c:v>
                </c:pt>
                <c:pt idx="50">
                  <c:v>2482</c:v>
                </c:pt>
                <c:pt idx="51">
                  <c:v>2534</c:v>
                </c:pt>
                <c:pt idx="52">
                  <c:v>2343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C35-49C8-AC54-43A16BFA0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8278431"/>
        <c:axId val="1758276511"/>
      </c:lineChart>
      <c:catAx>
        <c:axId val="175827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276511"/>
        <c:crosses val="autoZero"/>
        <c:auto val="1"/>
        <c:lblAlgn val="ctr"/>
        <c:lblOffset val="100"/>
        <c:noMultiLvlLbl val="0"/>
      </c:catAx>
      <c:valAx>
        <c:axId val="175827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278431"/>
        <c:crosses val="autoZero"/>
        <c:crossBetween val="between"/>
      </c:valAx>
    </c:plotArea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 Activity.xlsx]Pivot Table!PivotTable2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Sales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Table'!$F$8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Table'!$E$9:$E$13</c:f>
              <c:strCache>
                <c:ptCount val="5"/>
                <c:pt idx="0">
                  <c:v>Lisbon</c:v>
                </c:pt>
                <c:pt idx="1">
                  <c:v>London</c:v>
                </c:pt>
                <c:pt idx="2">
                  <c:v>Madrid</c:v>
                </c:pt>
                <c:pt idx="3">
                  <c:v>Berlin</c:v>
                </c:pt>
                <c:pt idx="4">
                  <c:v>Paris</c:v>
                </c:pt>
              </c:strCache>
            </c:strRef>
          </c:cat>
          <c:val>
            <c:numRef>
              <c:f>'Pivot Table'!$F$9:$F$13</c:f>
              <c:numCache>
                <c:formatCode>_("$"* #,##0_);_("$"* \(#,##0\);_("$"* "-"??_);_(@_)</c:formatCode>
                <c:ptCount val="5"/>
                <c:pt idx="0">
                  <c:v>239549</c:v>
                </c:pt>
                <c:pt idx="1">
                  <c:v>216969</c:v>
                </c:pt>
                <c:pt idx="2">
                  <c:v>139144</c:v>
                </c:pt>
                <c:pt idx="3">
                  <c:v>102837</c:v>
                </c:pt>
                <c:pt idx="4">
                  <c:v>81954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58-4329-BE3A-ACFB58E5DF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52466496"/>
        <c:axId val="1352469856"/>
      </c:barChart>
      <c:catAx>
        <c:axId val="1352466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469856"/>
        <c:crosses val="autoZero"/>
        <c:auto val="1"/>
        <c:lblAlgn val="ctr"/>
        <c:lblOffset val="100"/>
        <c:noMultiLvlLbl val="0"/>
      </c:catAx>
      <c:valAx>
        <c:axId val="13524698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46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 Activity.xlsx]Pivot Table!PivotTable3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managers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Table'!$J$8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Table'!$I$9:$I$13</c:f>
              <c:strCache>
                <c:ptCount val="5"/>
                <c:pt idx="0">
                  <c:v>Joao Silva</c:v>
                </c:pt>
                <c:pt idx="1">
                  <c:v>Tom Jackson</c:v>
                </c:pt>
                <c:pt idx="2">
                  <c:v>Pablo Perez</c:v>
                </c:pt>
                <c:pt idx="3">
                  <c:v>Walter Muller</c:v>
                </c:pt>
                <c:pt idx="4">
                  <c:v>Remy Monet</c:v>
                </c:pt>
              </c:strCache>
            </c:strRef>
          </c:cat>
          <c:val>
            <c:numRef>
              <c:f>'Pivot Table'!$J$9:$J$13</c:f>
              <c:numCache>
                <c:formatCode>_("$"* #,##0_);_("$"* \(#,##0\);_("$"* "-"??_);_(@_)</c:formatCode>
                <c:ptCount val="5"/>
                <c:pt idx="0">
                  <c:v>239549</c:v>
                </c:pt>
                <c:pt idx="1">
                  <c:v>216969</c:v>
                </c:pt>
                <c:pt idx="2">
                  <c:v>139144</c:v>
                </c:pt>
                <c:pt idx="3">
                  <c:v>102837</c:v>
                </c:pt>
                <c:pt idx="4">
                  <c:v>81954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A-4B67-AA53-31A90EB8A9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38724240"/>
        <c:axId val="1238699760"/>
      </c:barChart>
      <c:catAx>
        <c:axId val="1238724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Managers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699760"/>
        <c:crosses val="autoZero"/>
        <c:auto val="1"/>
        <c:lblAlgn val="ctr"/>
        <c:lblOffset val="100"/>
        <c:noMultiLvlLbl val="0"/>
      </c:catAx>
      <c:valAx>
        <c:axId val="12386997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72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 Activity.xlsx]Pivot Table!PivotTable16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Table'!$N$8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Table'!$M$9:$M$13</c:f>
              <c:strCache>
                <c:ptCount val="5"/>
                <c:pt idx="0">
                  <c:v>Burgers</c:v>
                </c:pt>
                <c:pt idx="1">
                  <c:v>Fries</c:v>
                </c:pt>
                <c:pt idx="2">
                  <c:v>Chicken Sandwiches</c:v>
                </c:pt>
                <c:pt idx="3">
                  <c:v>Beverages</c:v>
                </c:pt>
                <c:pt idx="4">
                  <c:v>Sides &amp; Other</c:v>
                </c:pt>
              </c:strCache>
            </c:strRef>
          </c:cat>
          <c:val>
            <c:numRef>
              <c:f>'Pivot Table'!$N$9:$N$13</c:f>
              <c:numCache>
                <c:formatCode>_("$"* #,##0_);_("$"* \(#,##0\);_("$"* "-"??_);_(@_)</c:formatCode>
                <c:ptCount val="5"/>
                <c:pt idx="0">
                  <c:v>384033</c:v>
                </c:pt>
                <c:pt idx="1">
                  <c:v>128092</c:v>
                </c:pt>
                <c:pt idx="2">
                  <c:v>111330</c:v>
                </c:pt>
                <c:pt idx="3">
                  <c:v>106998</c:v>
                </c:pt>
                <c:pt idx="4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92-4B67-91CC-D17D030CED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38685840"/>
        <c:axId val="1238668560"/>
      </c:barChart>
      <c:catAx>
        <c:axId val="1238685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668560"/>
        <c:crosses val="autoZero"/>
        <c:auto val="1"/>
        <c:lblAlgn val="ctr"/>
        <c:lblOffset val="100"/>
        <c:noMultiLvlLbl val="0"/>
      </c:catAx>
      <c:valAx>
        <c:axId val="12386685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68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 Activity.xlsx]Pivot Table!PivotTable17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Comparism of purchase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085127443702055"/>
              <c:y val="9.131103421760861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7322444939371445"/>
              <c:y val="5.286428296808910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7631774313288789"/>
              <c:y val="-3.844675124951946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Table'!$B$21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84-4440-B408-774047E21A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84-4440-B408-774047E21A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784-4440-B408-774047E21A0B}"/>
              </c:ext>
            </c:extLst>
          </c:dPt>
          <c:dLbls>
            <c:dLbl>
              <c:idx val="0"/>
              <c:layout>
                <c:manualLayout>
                  <c:x val="0.16085127443702055"/>
                  <c:y val="9.1311034217608611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4-4440-B408-774047E21A0B}"/>
                </c:ext>
              </c:extLst>
            </c:dLbl>
            <c:dLbl>
              <c:idx val="1"/>
              <c:layout>
                <c:manualLayout>
                  <c:x val="-0.17322444939371445"/>
                  <c:y val="5.286428296808910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4-4440-B408-774047E21A0B}"/>
                </c:ext>
              </c:extLst>
            </c:dLbl>
            <c:dLbl>
              <c:idx val="2"/>
              <c:layout>
                <c:manualLayout>
                  <c:x val="-0.17631774313288789"/>
                  <c:y val="-3.844675124951946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784-4440-B408-774047E21A0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Table'!$A$22:$A$24</c:f>
              <c:strCache>
                <c:ptCount val="3"/>
                <c:pt idx="0">
                  <c:v>Online </c:v>
                </c:pt>
                <c:pt idx="1">
                  <c:v>In-store </c:v>
                </c:pt>
                <c:pt idx="2">
                  <c:v>Drive-thru </c:v>
                </c:pt>
              </c:strCache>
            </c:strRef>
          </c:cat>
          <c:val>
            <c:numRef>
              <c:f>'Pivot Table'!$B$22:$B$24</c:f>
              <c:numCache>
                <c:formatCode>General</c:formatCode>
                <c:ptCount val="3"/>
                <c:pt idx="0">
                  <c:v>107</c:v>
                </c:pt>
                <c:pt idx="1">
                  <c:v>89</c:v>
                </c:pt>
                <c:pt idx="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784-4440-B408-774047E21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 Activity.xlsx]Pivot Table!PivotTable18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Comparism</a:t>
            </a:r>
            <a:r>
              <a:rPr lang="en-US" baseline="0"/>
              <a:t> of payment method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919821826280623"/>
              <c:y val="0.1441753171856978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610492452363276"/>
              <c:y val="9.131103421760852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085127443702057"/>
              <c:y val="-5.76701268742791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Table'!$G$21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C9F-4FBB-8004-44DDB4CA25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C9F-4FBB-8004-44DDB4CA251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C9F-4FBB-8004-44DDB4CA251A}"/>
              </c:ext>
            </c:extLst>
          </c:dPt>
          <c:dLbls>
            <c:dLbl>
              <c:idx val="0"/>
              <c:layout>
                <c:manualLayout>
                  <c:x val="0.13919821826280623"/>
                  <c:y val="0.1441753171856978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9F-4FBB-8004-44DDB4CA251A}"/>
                </c:ext>
              </c:extLst>
            </c:dLbl>
            <c:dLbl>
              <c:idx val="1"/>
              <c:layout>
                <c:manualLayout>
                  <c:x val="-0.13610492452363276"/>
                  <c:y val="9.131103421760852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C9F-4FBB-8004-44DDB4CA251A}"/>
                </c:ext>
              </c:extLst>
            </c:dLbl>
            <c:dLbl>
              <c:idx val="2"/>
              <c:layout>
                <c:manualLayout>
                  <c:x val="-0.16085127443702057"/>
                  <c:y val="-5.767012687427916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C9F-4FBB-8004-44DDB4CA251A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Table'!$F$22:$F$24</c:f>
              <c:strCache>
                <c:ptCount val="3"/>
                <c:pt idx="0">
                  <c:v> Credit Card</c:v>
                </c:pt>
                <c:pt idx="1">
                  <c:v> Cash</c:v>
                </c:pt>
                <c:pt idx="2">
                  <c:v> Gift Card</c:v>
                </c:pt>
              </c:strCache>
            </c:strRef>
          </c:cat>
          <c:val>
            <c:numRef>
              <c:f>'Pivot Table'!$G$22:$G$24</c:f>
              <c:numCache>
                <c:formatCode>General</c:formatCode>
                <c:ptCount val="3"/>
                <c:pt idx="0">
                  <c:v>123</c:v>
                </c:pt>
                <c:pt idx="1">
                  <c:v>76</c:v>
                </c:pt>
                <c:pt idx="2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C9F-4FBB-8004-44DDB4CA2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 Activity.xlsx]Pivot Table!PivotTable20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volumn trend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Table'!$K$21:$K$22</c:f>
              <c:strCache>
                <c:ptCount val="1"/>
                <c:pt idx="0">
                  <c:v>Sunday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Table'!$J$23:$J$24</c:f>
              <c:strCache>
                <c:ptCount val="2"/>
                <c:pt idx="0">
                  <c:v>November</c:v>
                </c:pt>
                <c:pt idx="1">
                  <c:v>December</c:v>
                </c:pt>
              </c:strCache>
            </c:strRef>
          </c:cat>
          <c:val>
            <c:numRef>
              <c:f>'Pivot Table'!$K$23:$K$24</c:f>
              <c:numCache>
                <c:formatCode>General</c:formatCode>
                <c:ptCount val="2"/>
                <c:pt idx="0">
                  <c:v>6012</c:v>
                </c:pt>
                <c:pt idx="1">
                  <c:v>8003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90-49D2-B257-8B6933A97685}"/>
            </c:ext>
          </c:extLst>
        </c:ser>
        <c:ser>
          <c:idx val="1"/>
          <c:order val="1"/>
          <c:tx>
            <c:strRef>
              <c:f>'Pivot Table'!$L$21:$L$22</c:f>
              <c:strCache>
                <c:ptCount val="1"/>
                <c:pt idx="0">
                  <c:v>Monday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Table'!$J$23:$J$24</c:f>
              <c:strCache>
                <c:ptCount val="2"/>
                <c:pt idx="0">
                  <c:v>November</c:v>
                </c:pt>
                <c:pt idx="1">
                  <c:v>December</c:v>
                </c:pt>
              </c:strCache>
            </c:strRef>
          </c:cat>
          <c:val>
            <c:numRef>
              <c:f>'Pivot Table'!$L$23:$L$24</c:f>
              <c:numCache>
                <c:formatCode>General</c:formatCode>
                <c:ptCount val="2"/>
                <c:pt idx="0">
                  <c:v>8788</c:v>
                </c:pt>
                <c:pt idx="1">
                  <c:v>9395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90-49D2-B257-8B6933A97685}"/>
            </c:ext>
          </c:extLst>
        </c:ser>
        <c:ser>
          <c:idx val="2"/>
          <c:order val="2"/>
          <c:tx>
            <c:strRef>
              <c:f>'Pivot Table'!$M$21:$M$22</c:f>
              <c:strCache>
                <c:ptCount val="1"/>
                <c:pt idx="0">
                  <c:v>Tuesday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Table'!$J$23:$J$24</c:f>
              <c:strCache>
                <c:ptCount val="2"/>
                <c:pt idx="0">
                  <c:v>November</c:v>
                </c:pt>
                <c:pt idx="1">
                  <c:v>December</c:v>
                </c:pt>
              </c:strCache>
            </c:strRef>
          </c:cat>
          <c:val>
            <c:numRef>
              <c:f>'Pivot Table'!$M$23:$M$24</c:f>
              <c:numCache>
                <c:formatCode>General</c:formatCode>
                <c:ptCount val="2"/>
                <c:pt idx="0">
                  <c:v>8187</c:v>
                </c:pt>
                <c:pt idx="1">
                  <c:v>9396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90-49D2-B257-8B6933A97685}"/>
            </c:ext>
          </c:extLst>
        </c:ser>
        <c:ser>
          <c:idx val="3"/>
          <c:order val="3"/>
          <c:tx>
            <c:strRef>
              <c:f>'Pivot Table'!$N$21:$N$22</c:f>
              <c:strCache>
                <c:ptCount val="1"/>
                <c:pt idx="0">
                  <c:v>Wednesday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Table'!$J$23:$J$24</c:f>
              <c:strCache>
                <c:ptCount val="2"/>
                <c:pt idx="0">
                  <c:v>November</c:v>
                </c:pt>
                <c:pt idx="1">
                  <c:v>December</c:v>
                </c:pt>
              </c:strCache>
            </c:strRef>
          </c:cat>
          <c:val>
            <c:numRef>
              <c:f>'Pivot Table'!$N$23:$N$24</c:f>
              <c:numCache>
                <c:formatCode>General</c:formatCode>
                <c:ptCount val="2"/>
                <c:pt idx="0">
                  <c:v>8880</c:v>
                </c:pt>
                <c:pt idx="1">
                  <c:v>9523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90-49D2-B257-8B6933A97685}"/>
            </c:ext>
          </c:extLst>
        </c:ser>
        <c:ser>
          <c:idx val="4"/>
          <c:order val="4"/>
          <c:tx>
            <c:strRef>
              <c:f>'Pivot Table'!$O$21:$O$22</c:f>
              <c:strCache>
                <c:ptCount val="1"/>
                <c:pt idx="0">
                  <c:v>Thursday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Table'!$J$23:$J$24</c:f>
              <c:strCache>
                <c:ptCount val="2"/>
                <c:pt idx="0">
                  <c:v>November</c:v>
                </c:pt>
                <c:pt idx="1">
                  <c:v>December</c:v>
                </c:pt>
              </c:strCache>
            </c:strRef>
          </c:cat>
          <c:val>
            <c:numRef>
              <c:f>'Pivot Table'!$O$23:$O$24</c:f>
              <c:numCache>
                <c:formatCode>General</c:formatCode>
                <c:ptCount val="2"/>
                <c:pt idx="0">
                  <c:v>6492</c:v>
                </c:pt>
                <c:pt idx="1">
                  <c:v>11498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90-49D2-B257-8B6933A97685}"/>
            </c:ext>
          </c:extLst>
        </c:ser>
        <c:ser>
          <c:idx val="5"/>
          <c:order val="5"/>
          <c:tx>
            <c:strRef>
              <c:f>'Pivot Table'!$P$21:$P$22</c:f>
              <c:strCache>
                <c:ptCount val="1"/>
                <c:pt idx="0">
                  <c:v>Friday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Table'!$J$23:$J$24</c:f>
              <c:strCache>
                <c:ptCount val="2"/>
                <c:pt idx="0">
                  <c:v>November</c:v>
                </c:pt>
                <c:pt idx="1">
                  <c:v>December</c:v>
                </c:pt>
              </c:strCache>
            </c:strRef>
          </c:cat>
          <c:val>
            <c:numRef>
              <c:f>'Pivot Table'!$P$23:$P$24</c:f>
              <c:numCache>
                <c:formatCode>General</c:formatCode>
                <c:ptCount val="2"/>
                <c:pt idx="0">
                  <c:v>6808</c:v>
                </c:pt>
                <c:pt idx="1">
                  <c:v>9274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C90-49D2-B257-8B6933A97685}"/>
            </c:ext>
          </c:extLst>
        </c:ser>
        <c:ser>
          <c:idx val="6"/>
          <c:order val="6"/>
          <c:tx>
            <c:strRef>
              <c:f>'Pivot Table'!$Q$21:$Q$22</c:f>
              <c:strCache>
                <c:ptCount val="1"/>
                <c:pt idx="0">
                  <c:v>Saturday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Table'!$J$23:$J$24</c:f>
              <c:strCache>
                <c:ptCount val="2"/>
                <c:pt idx="0">
                  <c:v>November</c:v>
                </c:pt>
                <c:pt idx="1">
                  <c:v>December</c:v>
                </c:pt>
              </c:strCache>
            </c:strRef>
          </c:cat>
          <c:val>
            <c:numRef>
              <c:f>'Pivot Table'!$Q$23:$Q$24</c:f>
              <c:numCache>
                <c:formatCode>General</c:formatCode>
                <c:ptCount val="2"/>
                <c:pt idx="0">
                  <c:v>6730</c:v>
                </c:pt>
                <c:pt idx="1">
                  <c:v>9377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C90-49D2-B257-8B6933A9768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38693040"/>
        <c:axId val="1238673840"/>
      </c:lineChart>
      <c:catAx>
        <c:axId val="123869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673840"/>
        <c:crosses val="autoZero"/>
        <c:auto val="1"/>
        <c:lblAlgn val="ctr"/>
        <c:lblOffset val="100"/>
        <c:noMultiLvlLbl val="0"/>
      </c:catAx>
      <c:valAx>
        <c:axId val="12386738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</a:t>
                </a:r>
                <a:r>
                  <a:rPr lang="en-US" baseline="0"/>
                  <a:t> of Quantity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69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 Activity.xlsx]Pivot Table!PivotTable19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sales volume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Table'!$A$33:$A$85</c:f>
              <c:strCache>
                <c:ptCount val="53"/>
                <c:pt idx="0">
                  <c:v>07-Nov</c:v>
                </c:pt>
                <c:pt idx="1">
                  <c:v>08-Nov</c:v>
                </c:pt>
                <c:pt idx="2">
                  <c:v>09-Nov</c:v>
                </c:pt>
                <c:pt idx="3">
                  <c:v>10-Nov</c:v>
                </c:pt>
                <c:pt idx="4">
                  <c:v>11-Nov</c:v>
                </c:pt>
                <c:pt idx="5">
                  <c:v>12-Nov</c:v>
                </c:pt>
                <c:pt idx="6">
                  <c:v>13-Nov</c:v>
                </c:pt>
                <c:pt idx="7">
                  <c:v>14-Nov</c:v>
                </c:pt>
                <c:pt idx="8">
                  <c:v>15-Nov</c:v>
                </c:pt>
                <c:pt idx="9">
                  <c:v>16-Nov</c:v>
                </c:pt>
                <c:pt idx="10">
                  <c:v>17-Nov</c:v>
                </c:pt>
                <c:pt idx="11">
                  <c:v>18-Nov</c:v>
                </c:pt>
                <c:pt idx="12">
                  <c:v>19-Nov</c:v>
                </c:pt>
                <c:pt idx="13">
                  <c:v>20-Nov</c:v>
                </c:pt>
                <c:pt idx="14">
                  <c:v>21-Nov</c:v>
                </c:pt>
                <c:pt idx="15">
                  <c:v>22-Nov</c:v>
                </c:pt>
                <c:pt idx="16">
                  <c:v>23-Nov</c:v>
                </c:pt>
                <c:pt idx="17">
                  <c:v>24-Nov</c:v>
                </c:pt>
                <c:pt idx="18">
                  <c:v>25-Nov</c:v>
                </c:pt>
                <c:pt idx="19">
                  <c:v>26-Nov</c:v>
                </c:pt>
                <c:pt idx="20">
                  <c:v>27-Nov</c:v>
                </c:pt>
                <c:pt idx="21">
                  <c:v>28-Nov</c:v>
                </c:pt>
                <c:pt idx="22">
                  <c:v>29-Nov</c:v>
                </c:pt>
                <c:pt idx="23">
                  <c:v>30-Nov</c:v>
                </c:pt>
                <c:pt idx="24">
                  <c:v>01-Dec</c:v>
                </c:pt>
                <c:pt idx="25">
                  <c:v>02-Dec</c:v>
                </c:pt>
                <c:pt idx="26">
                  <c:v>03-Dec</c:v>
                </c:pt>
                <c:pt idx="27">
                  <c:v>04-Dec</c:v>
                </c:pt>
                <c:pt idx="28">
                  <c:v>05-Dec</c:v>
                </c:pt>
                <c:pt idx="29">
                  <c:v>06-Dec</c:v>
                </c:pt>
                <c:pt idx="30">
                  <c:v>07-Dec</c:v>
                </c:pt>
                <c:pt idx="31">
                  <c:v>08-Dec</c:v>
                </c:pt>
                <c:pt idx="32">
                  <c:v>09-Dec</c:v>
                </c:pt>
                <c:pt idx="33">
                  <c:v>10-Dec</c:v>
                </c:pt>
                <c:pt idx="34">
                  <c:v>11-Dec</c:v>
                </c:pt>
                <c:pt idx="35">
                  <c:v>12-Dec</c:v>
                </c:pt>
                <c:pt idx="36">
                  <c:v>13-Dec</c:v>
                </c:pt>
                <c:pt idx="37">
                  <c:v>14-Dec</c:v>
                </c:pt>
                <c:pt idx="38">
                  <c:v>15-Dec</c:v>
                </c:pt>
                <c:pt idx="39">
                  <c:v>16-Dec</c:v>
                </c:pt>
                <c:pt idx="40">
                  <c:v>17-Dec</c:v>
                </c:pt>
                <c:pt idx="41">
                  <c:v>18-Dec</c:v>
                </c:pt>
                <c:pt idx="42">
                  <c:v>19-Dec</c:v>
                </c:pt>
                <c:pt idx="43">
                  <c:v>20-Dec</c:v>
                </c:pt>
                <c:pt idx="44">
                  <c:v>21-Dec</c:v>
                </c:pt>
                <c:pt idx="45">
                  <c:v>22-Dec</c:v>
                </c:pt>
                <c:pt idx="46">
                  <c:v>23-Dec</c:v>
                </c:pt>
                <c:pt idx="47">
                  <c:v>24-Dec</c:v>
                </c:pt>
                <c:pt idx="48">
                  <c:v>25-Dec</c:v>
                </c:pt>
                <c:pt idx="49">
                  <c:v>26-Dec</c:v>
                </c:pt>
                <c:pt idx="50">
                  <c:v>27-Dec</c:v>
                </c:pt>
                <c:pt idx="51">
                  <c:v>28-Dec</c:v>
                </c:pt>
                <c:pt idx="52">
                  <c:v>29-Dec</c:v>
                </c:pt>
              </c:strCache>
            </c:strRef>
          </c:cat>
          <c:val>
            <c:numRef>
              <c:f>'Pivot Table'!$B$33:$B$85</c:f>
              <c:numCache>
                <c:formatCode>General</c:formatCode>
                <c:ptCount val="53"/>
                <c:pt idx="0">
                  <c:v>1519</c:v>
                </c:pt>
                <c:pt idx="1">
                  <c:v>1544</c:v>
                </c:pt>
                <c:pt idx="2">
                  <c:v>2206</c:v>
                </c:pt>
                <c:pt idx="3">
                  <c:v>2006</c:v>
                </c:pt>
                <c:pt idx="4">
                  <c:v>2263</c:v>
                </c:pt>
                <c:pt idx="5">
                  <c:v>2232</c:v>
                </c:pt>
                <c:pt idx="6">
                  <c:v>3095</c:v>
                </c:pt>
                <c:pt idx="7">
                  <c:v>2755</c:v>
                </c:pt>
                <c:pt idx="8">
                  <c:v>2160</c:v>
                </c:pt>
                <c:pt idx="9">
                  <c:v>2160</c:v>
                </c:pt>
                <c:pt idx="10">
                  <c:v>2232</c:v>
                </c:pt>
                <c:pt idx="11">
                  <c:v>2306</c:v>
                </c:pt>
                <c:pt idx="12">
                  <c:v>2275</c:v>
                </c:pt>
                <c:pt idx="13">
                  <c:v>678</c:v>
                </c:pt>
                <c:pt idx="14">
                  <c:v>2328</c:v>
                </c:pt>
                <c:pt idx="15">
                  <c:v>2297</c:v>
                </c:pt>
                <c:pt idx="16">
                  <c:v>2312</c:v>
                </c:pt>
                <c:pt idx="17">
                  <c:v>2254</c:v>
                </c:pt>
                <c:pt idx="18">
                  <c:v>2239</c:v>
                </c:pt>
                <c:pt idx="19">
                  <c:v>2223</c:v>
                </c:pt>
                <c:pt idx="20">
                  <c:v>2239</c:v>
                </c:pt>
                <c:pt idx="21">
                  <c:v>2186</c:v>
                </c:pt>
                <c:pt idx="22">
                  <c:v>2186</c:v>
                </c:pt>
                <c:pt idx="23">
                  <c:v>2202</c:v>
                </c:pt>
                <c:pt idx="24">
                  <c:v>2145</c:v>
                </c:pt>
                <c:pt idx="25">
                  <c:v>2232</c:v>
                </c:pt>
                <c:pt idx="26">
                  <c:v>2232</c:v>
                </c:pt>
                <c:pt idx="27">
                  <c:v>740</c:v>
                </c:pt>
                <c:pt idx="28">
                  <c:v>2206</c:v>
                </c:pt>
                <c:pt idx="29">
                  <c:v>2191</c:v>
                </c:pt>
                <c:pt idx="30">
                  <c:v>2232</c:v>
                </c:pt>
                <c:pt idx="31">
                  <c:v>2248</c:v>
                </c:pt>
                <c:pt idx="32">
                  <c:v>2279</c:v>
                </c:pt>
                <c:pt idx="33">
                  <c:v>2279</c:v>
                </c:pt>
                <c:pt idx="34">
                  <c:v>2362</c:v>
                </c:pt>
                <c:pt idx="35">
                  <c:v>2279</c:v>
                </c:pt>
                <c:pt idx="36">
                  <c:v>2279</c:v>
                </c:pt>
                <c:pt idx="37">
                  <c:v>2283</c:v>
                </c:pt>
                <c:pt idx="38">
                  <c:v>2268</c:v>
                </c:pt>
                <c:pt idx="39">
                  <c:v>2367</c:v>
                </c:pt>
                <c:pt idx="40">
                  <c:v>2440</c:v>
                </c:pt>
                <c:pt idx="41">
                  <c:v>2455</c:v>
                </c:pt>
                <c:pt idx="42">
                  <c:v>2428</c:v>
                </c:pt>
                <c:pt idx="43">
                  <c:v>2444</c:v>
                </c:pt>
                <c:pt idx="44">
                  <c:v>2474</c:v>
                </c:pt>
                <c:pt idx="45">
                  <c:v>2494</c:v>
                </c:pt>
                <c:pt idx="46">
                  <c:v>2396</c:v>
                </c:pt>
                <c:pt idx="47">
                  <c:v>2426</c:v>
                </c:pt>
                <c:pt idx="48">
                  <c:v>2446</c:v>
                </c:pt>
                <c:pt idx="49">
                  <c:v>2482</c:v>
                </c:pt>
                <c:pt idx="50">
                  <c:v>2482</c:v>
                </c:pt>
                <c:pt idx="51">
                  <c:v>2534</c:v>
                </c:pt>
                <c:pt idx="52">
                  <c:v>2343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FE-4733-8B80-0B6F1ACC3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8278431"/>
        <c:axId val="1758276511"/>
      </c:lineChart>
      <c:catAx>
        <c:axId val="175827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276511"/>
        <c:crosses val="autoZero"/>
        <c:auto val="1"/>
        <c:lblAlgn val="ctr"/>
        <c:lblOffset val="100"/>
        <c:noMultiLvlLbl val="0"/>
      </c:catAx>
      <c:valAx>
        <c:axId val="175827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278431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 Activity.xlsx]Pivot Table!PivotTable21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Managers</a:t>
            </a:r>
            <a:r>
              <a:rPr lang="en-US" baseline="0"/>
              <a:t> sales performance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Table'!$G$32:$G$33</c:f>
              <c:strCache>
                <c:ptCount val="1"/>
                <c:pt idx="0">
                  <c:v>Berlin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Table'!$F$34:$F$38</c:f>
              <c:strCache>
                <c:ptCount val="5"/>
                <c:pt idx="0">
                  <c:v>Joao Silva</c:v>
                </c:pt>
                <c:pt idx="1">
                  <c:v>Pablo Perez</c:v>
                </c:pt>
                <c:pt idx="2">
                  <c:v>Remy Monet</c:v>
                </c:pt>
                <c:pt idx="3">
                  <c:v>Tom Jackson</c:v>
                </c:pt>
                <c:pt idx="4">
                  <c:v>Walter Muller</c:v>
                </c:pt>
              </c:strCache>
            </c:strRef>
          </c:cat>
          <c:val>
            <c:numRef>
              <c:f>'Pivot Table'!$G$34:$G$38</c:f>
              <c:numCache>
                <c:formatCode>_("$"* #,##0_);_("$"* \(#,##0\);_("$"* "-"??_);_(@_)</c:formatCode>
                <c:ptCount val="5"/>
                <c:pt idx="4">
                  <c:v>102837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6-406E-9362-46798BBA35AE}"/>
            </c:ext>
          </c:extLst>
        </c:ser>
        <c:ser>
          <c:idx val="1"/>
          <c:order val="1"/>
          <c:tx>
            <c:strRef>
              <c:f>'Pivot Table'!$H$32:$H$33</c:f>
              <c:strCache>
                <c:ptCount val="1"/>
                <c:pt idx="0">
                  <c:v>Lisbon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Table'!$F$34:$F$38</c:f>
              <c:strCache>
                <c:ptCount val="5"/>
                <c:pt idx="0">
                  <c:v>Joao Silva</c:v>
                </c:pt>
                <c:pt idx="1">
                  <c:v>Pablo Perez</c:v>
                </c:pt>
                <c:pt idx="2">
                  <c:v>Remy Monet</c:v>
                </c:pt>
                <c:pt idx="3">
                  <c:v>Tom Jackson</c:v>
                </c:pt>
                <c:pt idx="4">
                  <c:v>Walter Muller</c:v>
                </c:pt>
              </c:strCache>
            </c:strRef>
          </c:cat>
          <c:val>
            <c:numRef>
              <c:f>'Pivot Table'!$H$34:$H$38</c:f>
              <c:numCache>
                <c:formatCode>_("$"* #,##0_);_("$"* \(#,##0\);_("$"* "-"??_);_(@_)</c:formatCode>
                <c:ptCount val="5"/>
                <c:pt idx="0">
                  <c:v>239549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36-406E-9362-46798BBA35AE}"/>
            </c:ext>
          </c:extLst>
        </c:ser>
        <c:ser>
          <c:idx val="2"/>
          <c:order val="2"/>
          <c:tx>
            <c:strRef>
              <c:f>'Pivot Table'!$I$32:$I$33</c:f>
              <c:strCache>
                <c:ptCount val="1"/>
                <c:pt idx="0">
                  <c:v>London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Table'!$F$34:$F$38</c:f>
              <c:strCache>
                <c:ptCount val="5"/>
                <c:pt idx="0">
                  <c:v>Joao Silva</c:v>
                </c:pt>
                <c:pt idx="1">
                  <c:v>Pablo Perez</c:v>
                </c:pt>
                <c:pt idx="2">
                  <c:v>Remy Monet</c:v>
                </c:pt>
                <c:pt idx="3">
                  <c:v>Tom Jackson</c:v>
                </c:pt>
                <c:pt idx="4">
                  <c:v>Walter Muller</c:v>
                </c:pt>
              </c:strCache>
            </c:strRef>
          </c:cat>
          <c:val>
            <c:numRef>
              <c:f>'Pivot Table'!$I$34:$I$38</c:f>
              <c:numCache>
                <c:formatCode>_("$"* #,##0_);_("$"* \(#,##0\);_("$"* "-"??_);_(@_)</c:formatCode>
                <c:ptCount val="5"/>
                <c:pt idx="3">
                  <c:v>216969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36-406E-9362-46798BBA35AE}"/>
            </c:ext>
          </c:extLst>
        </c:ser>
        <c:ser>
          <c:idx val="3"/>
          <c:order val="3"/>
          <c:tx>
            <c:strRef>
              <c:f>'Pivot Table'!$J$32:$J$33</c:f>
              <c:strCache>
                <c:ptCount val="1"/>
                <c:pt idx="0">
                  <c:v>Madrid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Table'!$F$34:$F$38</c:f>
              <c:strCache>
                <c:ptCount val="5"/>
                <c:pt idx="0">
                  <c:v>Joao Silva</c:v>
                </c:pt>
                <c:pt idx="1">
                  <c:v>Pablo Perez</c:v>
                </c:pt>
                <c:pt idx="2">
                  <c:v>Remy Monet</c:v>
                </c:pt>
                <c:pt idx="3">
                  <c:v>Tom Jackson</c:v>
                </c:pt>
                <c:pt idx="4">
                  <c:v>Walter Muller</c:v>
                </c:pt>
              </c:strCache>
            </c:strRef>
          </c:cat>
          <c:val>
            <c:numRef>
              <c:f>'Pivot Table'!$J$34:$J$38</c:f>
              <c:numCache>
                <c:formatCode>_("$"* #,##0_);_("$"* \(#,##0\);_("$"* "-"??_);_(@_)</c:formatCode>
                <c:ptCount val="5"/>
                <c:pt idx="1">
                  <c:v>139144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36-406E-9362-46798BBA35AE}"/>
            </c:ext>
          </c:extLst>
        </c:ser>
        <c:ser>
          <c:idx val="4"/>
          <c:order val="4"/>
          <c:tx>
            <c:strRef>
              <c:f>'Pivot Table'!$K$32:$K$33</c:f>
              <c:strCache>
                <c:ptCount val="1"/>
                <c:pt idx="0">
                  <c:v>Paris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Table'!$F$34:$F$38</c:f>
              <c:strCache>
                <c:ptCount val="5"/>
                <c:pt idx="0">
                  <c:v>Joao Silva</c:v>
                </c:pt>
                <c:pt idx="1">
                  <c:v>Pablo Perez</c:v>
                </c:pt>
                <c:pt idx="2">
                  <c:v>Remy Monet</c:v>
                </c:pt>
                <c:pt idx="3">
                  <c:v>Tom Jackson</c:v>
                </c:pt>
                <c:pt idx="4">
                  <c:v>Walter Muller</c:v>
                </c:pt>
              </c:strCache>
            </c:strRef>
          </c:cat>
          <c:val>
            <c:numRef>
              <c:f>'Pivot Table'!$K$34:$K$38</c:f>
              <c:numCache>
                <c:formatCode>_("$"* #,##0_);_("$"* \(#,##0\);_("$"* "-"??_);_(@_)</c:formatCode>
                <c:ptCount val="5"/>
                <c:pt idx="2">
                  <c:v>81954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36-406E-9362-46798BBA35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99664"/>
        <c:axId val="11681424"/>
      </c:barChart>
      <c:catAx>
        <c:axId val="11699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Managers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1424"/>
        <c:crosses val="autoZero"/>
        <c:auto val="1"/>
        <c:lblAlgn val="ctr"/>
        <c:lblOffset val="100"/>
        <c:noMultiLvlLbl val="0"/>
      </c:catAx>
      <c:valAx>
        <c:axId val="116814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 Activity.xlsx]Pivot Table!PivotTable22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selling products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Table'!$N$32:$N$33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Table'!$M$34:$M$38</c:f>
              <c:strCache>
                <c:ptCount val="5"/>
                <c:pt idx="0">
                  <c:v>Burgers</c:v>
                </c:pt>
                <c:pt idx="1">
                  <c:v>Fries</c:v>
                </c:pt>
                <c:pt idx="2">
                  <c:v>Chicken Sandwiches</c:v>
                </c:pt>
                <c:pt idx="3">
                  <c:v>Beverages</c:v>
                </c:pt>
                <c:pt idx="4">
                  <c:v>Sides &amp; Other</c:v>
                </c:pt>
              </c:strCache>
            </c:strRef>
          </c:cat>
          <c:val>
            <c:numRef>
              <c:f>'Pivot Table'!$N$34:$N$38</c:f>
              <c:numCache>
                <c:formatCode>_("$"* #,##0_);_("$"* \(#,##0\);_("$"* "-"??_);_(@_)</c:formatCode>
                <c:ptCount val="5"/>
                <c:pt idx="0">
                  <c:v>39416</c:v>
                </c:pt>
                <c:pt idx="1">
                  <c:v>14900</c:v>
                </c:pt>
                <c:pt idx="2">
                  <c:v>12060</c:v>
                </c:pt>
                <c:pt idx="3">
                  <c:v>10578</c:v>
                </c:pt>
                <c:pt idx="4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EC-4F79-ADC4-F727B06C84CF}"/>
            </c:ext>
          </c:extLst>
        </c:ser>
        <c:ser>
          <c:idx val="1"/>
          <c:order val="1"/>
          <c:tx>
            <c:strRef>
              <c:f>'Pivot Table'!$O$32:$O$33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Table'!$M$34:$M$38</c:f>
              <c:strCache>
                <c:ptCount val="5"/>
                <c:pt idx="0">
                  <c:v>Burgers</c:v>
                </c:pt>
                <c:pt idx="1">
                  <c:v>Fries</c:v>
                </c:pt>
                <c:pt idx="2">
                  <c:v>Chicken Sandwiches</c:v>
                </c:pt>
                <c:pt idx="3">
                  <c:v>Beverages</c:v>
                </c:pt>
                <c:pt idx="4">
                  <c:v>Sides &amp; Other</c:v>
                </c:pt>
              </c:strCache>
            </c:strRef>
          </c:cat>
          <c:val>
            <c:numRef>
              <c:f>'Pivot Table'!$O$34:$O$38</c:f>
              <c:numCache>
                <c:formatCode>_("$"* #,##0_);_("$"* \(#,##0\);_("$"* "-"??_);_(@_)</c:formatCode>
                <c:ptCount val="5"/>
                <c:pt idx="0">
                  <c:v>53443</c:v>
                </c:pt>
                <c:pt idx="1">
                  <c:v>15120</c:v>
                </c:pt>
                <c:pt idx="2">
                  <c:v>16070</c:v>
                </c:pt>
                <c:pt idx="3">
                  <c:v>12204</c:v>
                </c:pt>
                <c:pt idx="4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EC-4F79-ADC4-F727B06C84CF}"/>
            </c:ext>
          </c:extLst>
        </c:ser>
        <c:ser>
          <c:idx val="2"/>
          <c:order val="2"/>
          <c:tx>
            <c:strRef>
              <c:f>'Pivot Table'!$P$32:$P$33</c:f>
              <c:strCache>
                <c:ptCount val="1"/>
                <c:pt idx="0">
                  <c:v>Portugal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Table'!$M$34:$M$38</c:f>
              <c:strCache>
                <c:ptCount val="5"/>
                <c:pt idx="0">
                  <c:v>Burgers</c:v>
                </c:pt>
                <c:pt idx="1">
                  <c:v>Fries</c:v>
                </c:pt>
                <c:pt idx="2">
                  <c:v>Chicken Sandwiches</c:v>
                </c:pt>
                <c:pt idx="3">
                  <c:v>Beverages</c:v>
                </c:pt>
                <c:pt idx="4">
                  <c:v>Sides &amp; Other</c:v>
                </c:pt>
              </c:strCache>
            </c:strRef>
          </c:cat>
          <c:val>
            <c:numRef>
              <c:f>'Pivot Table'!$P$34:$P$38</c:f>
              <c:numCache>
                <c:formatCode>_("$"* #,##0_);_("$"* \(#,##0\);_("$"* "-"??_);_(@_)</c:formatCode>
                <c:ptCount val="5"/>
                <c:pt idx="0">
                  <c:v>115661</c:v>
                </c:pt>
                <c:pt idx="1">
                  <c:v>38728</c:v>
                </c:pt>
                <c:pt idx="2">
                  <c:v>32950</c:v>
                </c:pt>
                <c:pt idx="3">
                  <c:v>36210</c:v>
                </c:pt>
                <c:pt idx="4">
                  <c:v>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EC-4F79-ADC4-F727B06C84CF}"/>
            </c:ext>
          </c:extLst>
        </c:ser>
        <c:ser>
          <c:idx val="3"/>
          <c:order val="3"/>
          <c:tx>
            <c:strRef>
              <c:f>'Pivot Table'!$Q$32:$Q$33</c:f>
              <c:strCache>
                <c:ptCount val="1"/>
                <c:pt idx="0">
                  <c:v>Spain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Table'!$M$34:$M$38</c:f>
              <c:strCache>
                <c:ptCount val="5"/>
                <c:pt idx="0">
                  <c:v>Burgers</c:v>
                </c:pt>
                <c:pt idx="1">
                  <c:v>Fries</c:v>
                </c:pt>
                <c:pt idx="2">
                  <c:v>Chicken Sandwiches</c:v>
                </c:pt>
                <c:pt idx="3">
                  <c:v>Beverages</c:v>
                </c:pt>
                <c:pt idx="4">
                  <c:v>Sides &amp; Other</c:v>
                </c:pt>
              </c:strCache>
            </c:strRef>
          </c:cat>
          <c:val>
            <c:numRef>
              <c:f>'Pivot Table'!$Q$34:$Q$38</c:f>
              <c:numCache>
                <c:formatCode>_("$"* #,##0_);_("$"* \(#,##0\);_("$"* "-"??_);_(@_)</c:formatCode>
                <c:ptCount val="5"/>
                <c:pt idx="0">
                  <c:v>73632</c:v>
                </c:pt>
                <c:pt idx="1">
                  <c:v>19708</c:v>
                </c:pt>
                <c:pt idx="2">
                  <c:v>18090</c:v>
                </c:pt>
                <c:pt idx="3">
                  <c:v>18714</c:v>
                </c:pt>
                <c:pt idx="4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EC-4F79-ADC4-F727B06C84CF}"/>
            </c:ext>
          </c:extLst>
        </c:ser>
        <c:ser>
          <c:idx val="4"/>
          <c:order val="4"/>
          <c:tx>
            <c:strRef>
              <c:f>'Pivot Table'!$R$32:$R$33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Table'!$M$34:$M$38</c:f>
              <c:strCache>
                <c:ptCount val="5"/>
                <c:pt idx="0">
                  <c:v>Burgers</c:v>
                </c:pt>
                <c:pt idx="1">
                  <c:v>Fries</c:v>
                </c:pt>
                <c:pt idx="2">
                  <c:v>Chicken Sandwiches</c:v>
                </c:pt>
                <c:pt idx="3">
                  <c:v>Beverages</c:v>
                </c:pt>
                <c:pt idx="4">
                  <c:v>Sides &amp; Other</c:v>
                </c:pt>
              </c:strCache>
            </c:strRef>
          </c:cat>
          <c:val>
            <c:numRef>
              <c:f>'Pivot Table'!$R$34:$R$38</c:f>
              <c:numCache>
                <c:formatCode>_("$"* #,##0_);_("$"* \(#,##0\);_("$"* "-"??_);_(@_)</c:formatCode>
                <c:ptCount val="5"/>
                <c:pt idx="0">
                  <c:v>101881</c:v>
                </c:pt>
                <c:pt idx="1">
                  <c:v>39636</c:v>
                </c:pt>
                <c:pt idx="2">
                  <c:v>32160</c:v>
                </c:pt>
                <c:pt idx="3">
                  <c:v>29292</c:v>
                </c:pt>
                <c:pt idx="4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EC-4F79-ADC4-F727B06C84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55984"/>
        <c:axId val="11656464"/>
      </c:barChart>
      <c:catAx>
        <c:axId val="11655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6464"/>
        <c:crosses val="autoZero"/>
        <c:auto val="1"/>
        <c:lblAlgn val="ctr"/>
        <c:lblOffset val="100"/>
        <c:noMultiLvlLbl val="0"/>
      </c:catAx>
      <c:valAx>
        <c:axId val="116564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4.png"/><Relationship Id="rId4" Type="http://schemas.openxmlformats.org/officeDocument/2006/relationships/chart" Target="../charts/chart4.xml"/><Relationship Id="rId9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0</xdr:row>
      <xdr:rowOff>114300</xdr:rowOff>
    </xdr:from>
    <xdr:to>
      <xdr:col>20</xdr:col>
      <xdr:colOff>523876</xdr:colOff>
      <xdr:row>32</xdr:row>
      <xdr:rowOff>47625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21C191A-B976-0C02-81A4-5E267F9D0214}"/>
            </a:ext>
          </a:extLst>
        </xdr:cNvPr>
        <xdr:cNvSpPr/>
      </xdr:nvSpPr>
      <xdr:spPr>
        <a:xfrm>
          <a:off x="180976" y="114300"/>
          <a:ext cx="12534900" cy="60293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188119</xdr:colOff>
      <xdr:row>0</xdr:row>
      <xdr:rowOff>114300</xdr:rowOff>
    </xdr:from>
    <xdr:to>
      <xdr:col>20</xdr:col>
      <xdr:colOff>523875</xdr:colOff>
      <xdr:row>3</xdr:row>
      <xdr:rowOff>152400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959AB2E-B8C4-6620-62E2-485C055AD2A2}"/>
            </a:ext>
          </a:extLst>
        </xdr:cNvPr>
        <xdr:cNvSpPr/>
      </xdr:nvSpPr>
      <xdr:spPr>
        <a:xfrm>
          <a:off x="188119" y="114300"/>
          <a:ext cx="12527756" cy="60960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342899</xdr:colOff>
      <xdr:row>4</xdr:row>
      <xdr:rowOff>66676</xdr:rowOff>
    </xdr:from>
    <xdr:to>
      <xdr:col>5</xdr:col>
      <xdr:colOff>247650</xdr:colOff>
      <xdr:row>10</xdr:row>
      <xdr:rowOff>104776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9A6203D5-A6CE-FDBA-4B61-25A4616986AB}"/>
            </a:ext>
          </a:extLst>
        </xdr:cNvPr>
        <xdr:cNvSpPr/>
      </xdr:nvSpPr>
      <xdr:spPr>
        <a:xfrm>
          <a:off x="342899" y="828676"/>
          <a:ext cx="2952751" cy="1181100"/>
        </a:xfrm>
        <a:prstGeom prst="roundRect">
          <a:avLst>
            <a:gd name="adj" fmla="val 7517"/>
          </a:avLst>
        </a:prstGeom>
        <a:solidFill>
          <a:schemeClr val="bg1"/>
        </a:solidFill>
        <a:ln>
          <a:noFill/>
        </a:ln>
        <a:effectLst>
          <a:outerShdw blurRad="50800" algn="ctr" rotWithShape="0">
            <a:prstClr val="black">
              <a:alpha val="13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377824</xdr:colOff>
      <xdr:row>4</xdr:row>
      <xdr:rowOff>66675</xdr:rowOff>
    </xdr:from>
    <xdr:to>
      <xdr:col>10</xdr:col>
      <xdr:colOff>282575</xdr:colOff>
      <xdr:row>10</xdr:row>
      <xdr:rowOff>103251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77C6B435-1063-9C6D-66C3-4219DD0B2305}"/>
            </a:ext>
          </a:extLst>
        </xdr:cNvPr>
        <xdr:cNvSpPr/>
      </xdr:nvSpPr>
      <xdr:spPr>
        <a:xfrm>
          <a:off x="3425824" y="828675"/>
          <a:ext cx="2952751" cy="1179576"/>
        </a:xfrm>
        <a:prstGeom prst="roundRect">
          <a:avLst>
            <a:gd name="adj" fmla="val 7517"/>
          </a:avLst>
        </a:prstGeom>
        <a:solidFill>
          <a:schemeClr val="bg1"/>
        </a:solidFill>
        <a:ln>
          <a:noFill/>
        </a:ln>
        <a:effectLst>
          <a:outerShdw blurRad="50800" algn="ctr" rotWithShape="0">
            <a:prstClr val="black">
              <a:alpha val="13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412749</xdr:colOff>
      <xdr:row>4</xdr:row>
      <xdr:rowOff>66675</xdr:rowOff>
    </xdr:from>
    <xdr:to>
      <xdr:col>15</xdr:col>
      <xdr:colOff>317500</xdr:colOff>
      <xdr:row>10</xdr:row>
      <xdr:rowOff>103251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1617816A-9868-B68A-9677-A0227F85F251}"/>
            </a:ext>
          </a:extLst>
        </xdr:cNvPr>
        <xdr:cNvSpPr/>
      </xdr:nvSpPr>
      <xdr:spPr>
        <a:xfrm>
          <a:off x="6508749" y="828675"/>
          <a:ext cx="2952751" cy="1179576"/>
        </a:xfrm>
        <a:prstGeom prst="roundRect">
          <a:avLst>
            <a:gd name="adj" fmla="val 7517"/>
          </a:avLst>
        </a:prstGeom>
        <a:solidFill>
          <a:schemeClr val="bg1"/>
        </a:solidFill>
        <a:ln>
          <a:noFill/>
        </a:ln>
        <a:effectLst>
          <a:outerShdw blurRad="50800" algn="ctr" rotWithShape="0">
            <a:prstClr val="black">
              <a:alpha val="13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447674</xdr:colOff>
      <xdr:row>4</xdr:row>
      <xdr:rowOff>66675</xdr:rowOff>
    </xdr:from>
    <xdr:to>
      <xdr:col>20</xdr:col>
      <xdr:colOff>352425</xdr:colOff>
      <xdr:row>10</xdr:row>
      <xdr:rowOff>103251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ECC6F222-F4A5-30E9-0024-75C044104E3C}"/>
            </a:ext>
          </a:extLst>
        </xdr:cNvPr>
        <xdr:cNvSpPr/>
      </xdr:nvSpPr>
      <xdr:spPr>
        <a:xfrm>
          <a:off x="9591674" y="828675"/>
          <a:ext cx="2952751" cy="1179576"/>
        </a:xfrm>
        <a:prstGeom prst="roundRect">
          <a:avLst>
            <a:gd name="adj" fmla="val 7517"/>
          </a:avLst>
        </a:prstGeom>
        <a:solidFill>
          <a:schemeClr val="bg1"/>
        </a:solidFill>
        <a:ln>
          <a:noFill/>
        </a:ln>
        <a:effectLst>
          <a:outerShdw blurRad="50800" algn="ctr" rotWithShape="0">
            <a:prstClr val="black">
              <a:alpha val="13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247649</xdr:colOff>
      <xdr:row>11</xdr:row>
      <xdr:rowOff>28575</xdr:rowOff>
    </xdr:from>
    <xdr:to>
      <xdr:col>7</xdr:col>
      <xdr:colOff>47625</xdr:colOff>
      <xdr:row>21</xdr:row>
      <xdr:rowOff>9524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D9CAEB9D-2159-80C4-9E41-8480DECDAA2B}"/>
            </a:ext>
          </a:extLst>
        </xdr:cNvPr>
        <xdr:cNvSpPr/>
      </xdr:nvSpPr>
      <xdr:spPr>
        <a:xfrm>
          <a:off x="247649" y="2124075"/>
          <a:ext cx="4067176" cy="1885949"/>
        </a:xfrm>
        <a:prstGeom prst="roundRect">
          <a:avLst>
            <a:gd name="adj" fmla="val 7517"/>
          </a:avLst>
        </a:prstGeom>
        <a:solidFill>
          <a:schemeClr val="bg1"/>
        </a:solidFill>
        <a:ln>
          <a:noFill/>
        </a:ln>
        <a:effectLst>
          <a:outerShdw blurRad="50800" algn="ctr" rotWithShape="0">
            <a:prstClr val="black">
              <a:alpha val="13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138112</xdr:colOff>
      <xdr:row>11</xdr:row>
      <xdr:rowOff>28575</xdr:rowOff>
    </xdr:from>
    <xdr:to>
      <xdr:col>13</xdr:col>
      <xdr:colOff>547688</xdr:colOff>
      <xdr:row>21</xdr:row>
      <xdr:rowOff>9524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06D475CB-45A6-92CC-2645-68250FF82C47}"/>
            </a:ext>
          </a:extLst>
        </xdr:cNvPr>
        <xdr:cNvSpPr/>
      </xdr:nvSpPr>
      <xdr:spPr>
        <a:xfrm>
          <a:off x="4405312" y="2124075"/>
          <a:ext cx="4067176" cy="1885949"/>
        </a:xfrm>
        <a:prstGeom prst="roundRect">
          <a:avLst>
            <a:gd name="adj" fmla="val 7517"/>
          </a:avLst>
        </a:prstGeom>
        <a:solidFill>
          <a:schemeClr val="bg1"/>
        </a:solidFill>
        <a:ln>
          <a:noFill/>
        </a:ln>
        <a:effectLst>
          <a:outerShdw blurRad="50800" algn="ctr" rotWithShape="0">
            <a:prstClr val="black">
              <a:alpha val="13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38099</xdr:colOff>
      <xdr:row>11</xdr:row>
      <xdr:rowOff>28575</xdr:rowOff>
    </xdr:from>
    <xdr:to>
      <xdr:col>20</xdr:col>
      <xdr:colOff>447675</xdr:colOff>
      <xdr:row>21</xdr:row>
      <xdr:rowOff>9524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FD4908E0-139F-C09D-1539-4BF41BAA6B82}"/>
            </a:ext>
          </a:extLst>
        </xdr:cNvPr>
        <xdr:cNvSpPr/>
      </xdr:nvSpPr>
      <xdr:spPr>
        <a:xfrm>
          <a:off x="8572499" y="2124075"/>
          <a:ext cx="4067176" cy="1885949"/>
        </a:xfrm>
        <a:prstGeom prst="roundRect">
          <a:avLst>
            <a:gd name="adj" fmla="val 7517"/>
          </a:avLst>
        </a:prstGeom>
        <a:solidFill>
          <a:schemeClr val="bg1"/>
        </a:solidFill>
        <a:ln>
          <a:noFill/>
        </a:ln>
        <a:effectLst>
          <a:outerShdw blurRad="50800" algn="ctr" rotWithShape="0">
            <a:prstClr val="black">
              <a:alpha val="13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247649</xdr:colOff>
      <xdr:row>21</xdr:row>
      <xdr:rowOff>142876</xdr:rowOff>
    </xdr:from>
    <xdr:to>
      <xdr:col>7</xdr:col>
      <xdr:colOff>47625</xdr:colOff>
      <xdr:row>31</xdr:row>
      <xdr:rowOff>121540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C5C6F953-423B-959D-D478-1BE40FFC0BA7}"/>
            </a:ext>
          </a:extLst>
        </xdr:cNvPr>
        <xdr:cNvSpPr/>
      </xdr:nvSpPr>
      <xdr:spPr>
        <a:xfrm>
          <a:off x="247649" y="4143376"/>
          <a:ext cx="4067176" cy="1883664"/>
        </a:xfrm>
        <a:prstGeom prst="roundRect">
          <a:avLst>
            <a:gd name="adj" fmla="val 7517"/>
          </a:avLst>
        </a:prstGeom>
        <a:solidFill>
          <a:schemeClr val="bg1"/>
        </a:solidFill>
        <a:ln>
          <a:noFill/>
        </a:ln>
        <a:effectLst>
          <a:outerShdw blurRad="50800" algn="ctr" rotWithShape="0">
            <a:prstClr val="black">
              <a:alpha val="13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142874</xdr:colOff>
      <xdr:row>21</xdr:row>
      <xdr:rowOff>142876</xdr:rowOff>
    </xdr:from>
    <xdr:to>
      <xdr:col>13</xdr:col>
      <xdr:colOff>552450</xdr:colOff>
      <xdr:row>31</xdr:row>
      <xdr:rowOff>121540</xdr:rowOff>
    </xdr:to>
    <xdr:sp macro="" textlink="">
      <xdr:nvSpPr>
        <xdr:cNvPr id="40" name="Rectangle: Rounded Corners 39">
          <a:extLst>
            <a:ext uri="{FF2B5EF4-FFF2-40B4-BE49-F238E27FC236}">
              <a16:creationId xmlns:a16="http://schemas.microsoft.com/office/drawing/2014/main" id="{75039027-E2E8-D1F1-B16B-879FE101AAA8}"/>
            </a:ext>
          </a:extLst>
        </xdr:cNvPr>
        <xdr:cNvSpPr/>
      </xdr:nvSpPr>
      <xdr:spPr>
        <a:xfrm>
          <a:off x="4410074" y="4143376"/>
          <a:ext cx="4067176" cy="1883664"/>
        </a:xfrm>
        <a:prstGeom prst="roundRect">
          <a:avLst>
            <a:gd name="adj" fmla="val 7517"/>
          </a:avLst>
        </a:prstGeom>
        <a:solidFill>
          <a:schemeClr val="bg1"/>
        </a:solidFill>
        <a:ln>
          <a:noFill/>
        </a:ln>
        <a:effectLst>
          <a:outerShdw blurRad="50800" algn="ctr" rotWithShape="0">
            <a:prstClr val="black">
              <a:alpha val="13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38099</xdr:colOff>
      <xdr:row>21</xdr:row>
      <xdr:rowOff>142876</xdr:rowOff>
    </xdr:from>
    <xdr:to>
      <xdr:col>20</xdr:col>
      <xdr:colOff>447675</xdr:colOff>
      <xdr:row>31</xdr:row>
      <xdr:rowOff>121540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26C94BBA-B424-8B5C-4152-C7F5BAEC7B2B}"/>
            </a:ext>
          </a:extLst>
        </xdr:cNvPr>
        <xdr:cNvSpPr/>
      </xdr:nvSpPr>
      <xdr:spPr>
        <a:xfrm>
          <a:off x="8572499" y="4143376"/>
          <a:ext cx="4067176" cy="1883664"/>
        </a:xfrm>
        <a:prstGeom prst="roundRect">
          <a:avLst>
            <a:gd name="adj" fmla="val 7517"/>
          </a:avLst>
        </a:prstGeom>
        <a:solidFill>
          <a:schemeClr val="bg1"/>
        </a:solidFill>
        <a:ln>
          <a:noFill/>
        </a:ln>
        <a:effectLst>
          <a:outerShdw blurRad="50800" algn="ctr" rotWithShape="0">
            <a:prstClr val="black">
              <a:alpha val="13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371474</xdr:colOff>
      <xdr:row>1</xdr:row>
      <xdr:rowOff>9525</xdr:rowOff>
    </xdr:from>
    <xdr:to>
      <xdr:col>10</xdr:col>
      <xdr:colOff>504825</xdr:colOff>
      <xdr:row>3</xdr:row>
      <xdr:rowOff>95250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72565C58-DEB5-3707-228E-9DDE938D10D3}"/>
            </a:ext>
          </a:extLst>
        </xdr:cNvPr>
        <xdr:cNvSpPr txBox="1"/>
      </xdr:nvSpPr>
      <xdr:spPr>
        <a:xfrm>
          <a:off x="371474" y="200025"/>
          <a:ext cx="6229351" cy="46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2000">
              <a:solidFill>
                <a:schemeClr val="bg1"/>
              </a:solidFill>
              <a:latin typeface="Century Gothic" panose="020B0502020202020204" pitchFamily="34" charset="0"/>
            </a:rPr>
            <a:t>SALES PERFORMANCE DASHBOARD</a:t>
          </a:r>
        </a:p>
      </xdr:txBody>
    </xdr:sp>
    <xdr:clientData/>
  </xdr:twoCellAnchor>
  <xdr:twoCellAnchor>
    <xdr:from>
      <xdr:col>0</xdr:col>
      <xdr:colOff>352425</xdr:colOff>
      <xdr:row>4</xdr:row>
      <xdr:rowOff>85725</xdr:rowOff>
    </xdr:from>
    <xdr:to>
      <xdr:col>3</xdr:col>
      <xdr:colOff>390525</xdr:colOff>
      <xdr:row>6</xdr:row>
      <xdr:rowOff>66675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106B7169-A3D6-7CA8-C75F-C10A2AD7E52A}"/>
            </a:ext>
          </a:extLst>
        </xdr:cNvPr>
        <xdr:cNvSpPr txBox="1"/>
      </xdr:nvSpPr>
      <xdr:spPr>
        <a:xfrm>
          <a:off x="352425" y="847725"/>
          <a:ext cx="18669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Total Revenue</a:t>
          </a:r>
        </a:p>
      </xdr:txBody>
    </xdr:sp>
    <xdr:clientData/>
  </xdr:twoCellAnchor>
  <xdr:twoCellAnchor>
    <xdr:from>
      <xdr:col>5</xdr:col>
      <xdr:colOff>390525</xdr:colOff>
      <xdr:row>4</xdr:row>
      <xdr:rowOff>85725</xdr:rowOff>
    </xdr:from>
    <xdr:to>
      <xdr:col>8</xdr:col>
      <xdr:colOff>428625</xdr:colOff>
      <xdr:row>6</xdr:row>
      <xdr:rowOff>66675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9CD3673F-0307-B5CF-B566-C17F123F566F}"/>
            </a:ext>
          </a:extLst>
        </xdr:cNvPr>
        <xdr:cNvSpPr txBox="1"/>
      </xdr:nvSpPr>
      <xdr:spPr>
        <a:xfrm>
          <a:off x="3438525" y="847725"/>
          <a:ext cx="18669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Total Unit</a:t>
          </a:r>
          <a:r>
            <a:rPr lang="en-US" sz="1600" baseline="0"/>
            <a:t> Sold</a:t>
          </a:r>
          <a:endParaRPr lang="en-US" sz="1600"/>
        </a:p>
      </xdr:txBody>
    </xdr:sp>
    <xdr:clientData/>
  </xdr:twoCellAnchor>
  <xdr:twoCellAnchor>
    <xdr:from>
      <xdr:col>10</xdr:col>
      <xdr:colOff>419100</xdr:colOff>
      <xdr:row>4</xdr:row>
      <xdr:rowOff>85725</xdr:rowOff>
    </xdr:from>
    <xdr:to>
      <xdr:col>13</xdr:col>
      <xdr:colOff>457200</xdr:colOff>
      <xdr:row>6</xdr:row>
      <xdr:rowOff>66675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1F0F7E17-DE7C-6ACD-8E1C-11E66E27C0E2}"/>
            </a:ext>
          </a:extLst>
        </xdr:cNvPr>
        <xdr:cNvSpPr txBox="1"/>
      </xdr:nvSpPr>
      <xdr:spPr>
        <a:xfrm>
          <a:off x="6515100" y="847725"/>
          <a:ext cx="18669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Average</a:t>
          </a:r>
          <a:r>
            <a:rPr lang="en-US" sz="1600" baseline="0"/>
            <a:t> Price</a:t>
          </a:r>
          <a:endParaRPr lang="en-US" sz="1600"/>
        </a:p>
      </xdr:txBody>
    </xdr:sp>
    <xdr:clientData/>
  </xdr:twoCellAnchor>
  <xdr:twoCellAnchor>
    <xdr:from>
      <xdr:col>15</xdr:col>
      <xdr:colOff>457200</xdr:colOff>
      <xdr:row>4</xdr:row>
      <xdr:rowOff>85725</xdr:rowOff>
    </xdr:from>
    <xdr:to>
      <xdr:col>18</xdr:col>
      <xdr:colOff>495300</xdr:colOff>
      <xdr:row>6</xdr:row>
      <xdr:rowOff>66675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BD34E437-B361-97A5-42C9-F41D793A8B77}"/>
            </a:ext>
          </a:extLst>
        </xdr:cNvPr>
        <xdr:cNvSpPr txBox="1"/>
      </xdr:nvSpPr>
      <xdr:spPr>
        <a:xfrm>
          <a:off x="9601200" y="847725"/>
          <a:ext cx="18669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Total Transactions</a:t>
          </a:r>
        </a:p>
      </xdr:txBody>
    </xdr:sp>
    <xdr:clientData/>
  </xdr:twoCellAnchor>
  <xdr:twoCellAnchor>
    <xdr:from>
      <xdr:col>0</xdr:col>
      <xdr:colOff>352425</xdr:colOff>
      <xdr:row>7</xdr:row>
      <xdr:rowOff>9525</xdr:rowOff>
    </xdr:from>
    <xdr:to>
      <xdr:col>3</xdr:col>
      <xdr:colOff>390525</xdr:colOff>
      <xdr:row>8</xdr:row>
      <xdr:rowOff>180975</xdr:rowOff>
    </xdr:to>
    <xdr:sp macro="" textlink="'Pivot Table'!A9">
      <xdr:nvSpPr>
        <xdr:cNvPr id="47" name="TextBox 46">
          <a:extLst>
            <a:ext uri="{FF2B5EF4-FFF2-40B4-BE49-F238E27FC236}">
              <a16:creationId xmlns:a16="http://schemas.microsoft.com/office/drawing/2014/main" id="{7DDB2AC6-1C6D-3F99-478B-59E561C6261F}"/>
            </a:ext>
          </a:extLst>
        </xdr:cNvPr>
        <xdr:cNvSpPr txBox="1"/>
      </xdr:nvSpPr>
      <xdr:spPr>
        <a:xfrm>
          <a:off x="352425" y="1343025"/>
          <a:ext cx="18669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4EA77952-BCCD-4DEF-8C4F-BDE1A14BD56C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/>
            <a:t> $780,453 </a:t>
          </a:fld>
          <a:endParaRPr lang="en-US" sz="24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390525</xdr:colOff>
      <xdr:row>7</xdr:row>
      <xdr:rowOff>9525</xdr:rowOff>
    </xdr:from>
    <xdr:to>
      <xdr:col>8</xdr:col>
      <xdr:colOff>428625</xdr:colOff>
      <xdr:row>8</xdr:row>
      <xdr:rowOff>180975</xdr:rowOff>
    </xdr:to>
    <xdr:sp macro="" textlink="'Pivot Table'!C12">
      <xdr:nvSpPr>
        <xdr:cNvPr id="48" name="TextBox 47">
          <a:extLst>
            <a:ext uri="{FF2B5EF4-FFF2-40B4-BE49-F238E27FC236}">
              <a16:creationId xmlns:a16="http://schemas.microsoft.com/office/drawing/2014/main" id="{C77FE1CA-01F8-341B-91DF-30A98477B7D7}"/>
            </a:ext>
          </a:extLst>
        </xdr:cNvPr>
        <xdr:cNvSpPr txBox="1"/>
      </xdr:nvSpPr>
      <xdr:spPr>
        <a:xfrm>
          <a:off x="3438525" y="1343025"/>
          <a:ext cx="18669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79672B6D-15B7-4A50-8C78-8A87684834C9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/>
            <a:t> 257 </a:t>
          </a:fld>
          <a:endParaRPr lang="en-US" sz="24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10</xdr:col>
      <xdr:colOff>419100</xdr:colOff>
      <xdr:row>7</xdr:row>
      <xdr:rowOff>9525</xdr:rowOff>
    </xdr:from>
    <xdr:to>
      <xdr:col>13</xdr:col>
      <xdr:colOff>457200</xdr:colOff>
      <xdr:row>8</xdr:row>
      <xdr:rowOff>180975</xdr:rowOff>
    </xdr:to>
    <xdr:sp macro="" textlink="'Pivot Table'!C9">
      <xdr:nvSpPr>
        <xdr:cNvPr id="49" name="TextBox 48">
          <a:extLst>
            <a:ext uri="{FF2B5EF4-FFF2-40B4-BE49-F238E27FC236}">
              <a16:creationId xmlns:a16="http://schemas.microsoft.com/office/drawing/2014/main" id="{C1A48FC2-8DA8-4970-DCC4-86A6FBE7B2BC}"/>
            </a:ext>
          </a:extLst>
        </xdr:cNvPr>
        <xdr:cNvSpPr txBox="1"/>
      </xdr:nvSpPr>
      <xdr:spPr>
        <a:xfrm>
          <a:off x="6515100" y="1343025"/>
          <a:ext cx="18669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74A2168A-41E8-4690-97DE-F1F9C89687E0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/>
            <a:t> $7.07 </a:t>
          </a:fld>
          <a:endParaRPr lang="en-US" sz="24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16</xdr:col>
      <xdr:colOff>19050</xdr:colOff>
      <xdr:row>7</xdr:row>
      <xdr:rowOff>9525</xdr:rowOff>
    </xdr:from>
    <xdr:to>
      <xdr:col>19</xdr:col>
      <xdr:colOff>57150</xdr:colOff>
      <xdr:row>8</xdr:row>
      <xdr:rowOff>180975</xdr:rowOff>
    </xdr:to>
    <xdr:sp macro="" textlink="'Pivot Table'!A12">
      <xdr:nvSpPr>
        <xdr:cNvPr id="50" name="TextBox 49">
          <a:extLst>
            <a:ext uri="{FF2B5EF4-FFF2-40B4-BE49-F238E27FC236}">
              <a16:creationId xmlns:a16="http://schemas.microsoft.com/office/drawing/2014/main" id="{B3483B24-91C8-5BC2-C853-E04565444BE0}"/>
            </a:ext>
          </a:extLst>
        </xdr:cNvPr>
        <xdr:cNvSpPr txBox="1"/>
      </xdr:nvSpPr>
      <xdr:spPr>
        <a:xfrm>
          <a:off x="9772650" y="1343025"/>
          <a:ext cx="18669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BC189930-D5AE-45D3-A0AD-408378F55003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/>
            <a:t> 118,363 </a:t>
          </a:fld>
          <a:endParaRPr lang="en-US" sz="24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247649</xdr:colOff>
      <xdr:row>11</xdr:row>
      <xdr:rowOff>28575</xdr:rowOff>
    </xdr:from>
    <xdr:to>
      <xdr:col>7</xdr:col>
      <xdr:colOff>49529</xdr:colOff>
      <xdr:row>21</xdr:row>
      <xdr:rowOff>7239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6CC9A1FA-91FA-49AB-800C-F195D83D43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38099</xdr:colOff>
      <xdr:row>11</xdr:row>
      <xdr:rowOff>28575</xdr:rowOff>
    </xdr:from>
    <xdr:to>
      <xdr:col>20</xdr:col>
      <xdr:colOff>449579</xdr:colOff>
      <xdr:row>21</xdr:row>
      <xdr:rowOff>7239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A4EE1DFD-AC4E-46F3-A034-39E92A36E6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38099</xdr:colOff>
      <xdr:row>21</xdr:row>
      <xdr:rowOff>142876</xdr:rowOff>
    </xdr:from>
    <xdr:to>
      <xdr:col>20</xdr:col>
      <xdr:colOff>449579</xdr:colOff>
      <xdr:row>31</xdr:row>
      <xdr:rowOff>121540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02FA39D8-7AC1-4913-9487-468330CBB9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138112</xdr:colOff>
      <xdr:row>11</xdr:row>
      <xdr:rowOff>28575</xdr:rowOff>
    </xdr:from>
    <xdr:to>
      <xdr:col>13</xdr:col>
      <xdr:colOff>549592</xdr:colOff>
      <xdr:row>21</xdr:row>
      <xdr:rowOff>7239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0F164888-5F4C-40B2-B3C7-7B01FC41D1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142874</xdr:colOff>
      <xdr:row>21</xdr:row>
      <xdr:rowOff>142876</xdr:rowOff>
    </xdr:from>
    <xdr:to>
      <xdr:col>13</xdr:col>
      <xdr:colOff>554354</xdr:colOff>
      <xdr:row>31</xdr:row>
      <xdr:rowOff>121540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D2B6CFB6-4600-4804-9FA1-8E73BDFCD1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247649</xdr:colOff>
      <xdr:row>21</xdr:row>
      <xdr:rowOff>142876</xdr:rowOff>
    </xdr:from>
    <xdr:to>
      <xdr:col>7</xdr:col>
      <xdr:colOff>49529</xdr:colOff>
      <xdr:row>31</xdr:row>
      <xdr:rowOff>121540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7784EDB0-F3C6-4836-A9BB-AD6870894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14</xdr:col>
      <xdr:colOff>60324</xdr:colOff>
      <xdr:row>5</xdr:row>
      <xdr:rowOff>95250</xdr:rowOff>
    </xdr:from>
    <xdr:to>
      <xdr:col>15</xdr:col>
      <xdr:colOff>79374</xdr:colOff>
      <xdr:row>8</xdr:row>
      <xdr:rowOff>152400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B7441AC2-A727-51F9-D94C-A43BF6743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94724" y="1047750"/>
          <a:ext cx="628650" cy="628650"/>
        </a:xfrm>
        <a:prstGeom prst="rect">
          <a:avLst/>
        </a:prstGeom>
      </xdr:spPr>
    </xdr:pic>
    <xdr:clientData/>
  </xdr:twoCellAnchor>
  <xdr:twoCellAnchor editAs="oneCell">
    <xdr:from>
      <xdr:col>19</xdr:col>
      <xdr:colOff>171449</xdr:colOff>
      <xdr:row>5</xdr:row>
      <xdr:rowOff>95250</xdr:rowOff>
    </xdr:from>
    <xdr:to>
      <xdr:col>20</xdr:col>
      <xdr:colOff>85724</xdr:colOff>
      <xdr:row>8</xdr:row>
      <xdr:rowOff>47625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619C2596-0D7F-193A-071E-2010F6709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753849" y="1047750"/>
          <a:ext cx="523875" cy="523875"/>
        </a:xfrm>
        <a:prstGeom prst="rect">
          <a:avLst/>
        </a:prstGeom>
      </xdr:spPr>
    </xdr:pic>
    <xdr:clientData/>
  </xdr:twoCellAnchor>
  <xdr:twoCellAnchor editAs="oneCell">
    <xdr:from>
      <xdr:col>4</xdr:col>
      <xdr:colOff>95249</xdr:colOff>
      <xdr:row>5</xdr:row>
      <xdr:rowOff>95250</xdr:rowOff>
    </xdr:from>
    <xdr:to>
      <xdr:col>5</xdr:col>
      <xdr:colOff>38098</xdr:colOff>
      <xdr:row>8</xdr:row>
      <xdr:rowOff>76199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BE2888D0-6BD6-ECD2-D8C8-9E11DA2A1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33649" y="1047750"/>
          <a:ext cx="552449" cy="552449"/>
        </a:xfrm>
        <a:prstGeom prst="rect">
          <a:avLst/>
        </a:prstGeom>
      </xdr:spPr>
    </xdr:pic>
    <xdr:clientData/>
  </xdr:twoCellAnchor>
  <xdr:twoCellAnchor editAs="oneCell">
    <xdr:from>
      <xdr:col>8</xdr:col>
      <xdr:colOff>463549</xdr:colOff>
      <xdr:row>5</xdr:row>
      <xdr:rowOff>95250</xdr:rowOff>
    </xdr:from>
    <xdr:to>
      <xdr:col>9</xdr:col>
      <xdr:colOff>600075</xdr:colOff>
      <xdr:row>9</xdr:row>
      <xdr:rowOff>79376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893EAEF4-8CC6-6D87-7921-2F4CC03F6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340349" y="1047750"/>
          <a:ext cx="746126" cy="7461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66675</xdr:rowOff>
    </xdr:from>
    <xdr:to>
      <xdr:col>2</xdr:col>
      <xdr:colOff>0</xdr:colOff>
      <xdr:row>4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AD42A17-689C-7D12-EBCB-133391366D5F}"/>
            </a:ext>
          </a:extLst>
        </xdr:cNvPr>
        <xdr:cNvSpPr txBox="1"/>
      </xdr:nvSpPr>
      <xdr:spPr>
        <a:xfrm>
          <a:off x="28575" y="447675"/>
          <a:ext cx="1895475" cy="495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shows the</a:t>
          </a:r>
          <a:r>
            <a:rPr lang="en-US" sz="1100" baseline="0"/>
            <a:t> total revenue which is = 780,453</a:t>
          </a:r>
          <a:endParaRPr lang="en-US" sz="1100"/>
        </a:p>
      </xdr:txBody>
    </xdr:sp>
    <xdr:clientData/>
  </xdr:twoCellAnchor>
  <xdr:twoCellAnchor>
    <xdr:from>
      <xdr:col>3</xdr:col>
      <xdr:colOff>1095375</xdr:colOff>
      <xdr:row>0</xdr:row>
      <xdr:rowOff>152400</xdr:rowOff>
    </xdr:from>
    <xdr:to>
      <xdr:col>7</xdr:col>
      <xdr:colOff>9525</xdr:colOff>
      <xdr:row>5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5D6A693-A7B8-C345-A3BF-98BF2BC34507}"/>
            </a:ext>
          </a:extLst>
        </xdr:cNvPr>
        <xdr:cNvSpPr txBox="1"/>
      </xdr:nvSpPr>
      <xdr:spPr>
        <a:xfrm>
          <a:off x="3019425" y="152400"/>
          <a:ext cx="2638425" cy="800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shows the city that has the highest number of</a:t>
          </a:r>
          <a:r>
            <a:rPr lang="en-US" sz="1100" baseline="0"/>
            <a:t> sales which is Lisbon with 239,549 sales while Paris has the lowest with 81,954</a:t>
          </a:r>
          <a:endParaRPr lang="en-US" sz="1100"/>
        </a:p>
      </xdr:txBody>
    </xdr:sp>
    <xdr:clientData/>
  </xdr:twoCellAnchor>
  <xdr:twoCellAnchor>
    <xdr:from>
      <xdr:col>8</xdr:col>
      <xdr:colOff>0</xdr:colOff>
      <xdr:row>0</xdr:row>
      <xdr:rowOff>66674</xdr:rowOff>
    </xdr:from>
    <xdr:to>
      <xdr:col>10</xdr:col>
      <xdr:colOff>581025</xdr:colOff>
      <xdr:row>5</xdr:row>
      <xdr:rowOff>152400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0CE520-7DDB-B13A-2F78-44FC25D60F71}"/>
            </a:ext>
          </a:extLst>
        </xdr:cNvPr>
        <xdr:cNvSpPr txBox="1"/>
      </xdr:nvSpPr>
      <xdr:spPr>
        <a:xfrm>
          <a:off x="6686550" y="66674"/>
          <a:ext cx="2514600" cy="1038226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shows the</a:t>
          </a:r>
          <a:r>
            <a:rPr lang="en-US" sz="1100" baseline="0"/>
            <a:t> manager that handled the highest sales transaction and that is Joao Silver with 239,549 sales while Remy Monet recorded the lowest  sales transaction at 81,954</a:t>
          </a:r>
          <a:endParaRPr lang="en-US" sz="1100"/>
        </a:p>
      </xdr:txBody>
    </xdr:sp>
    <xdr:clientData/>
  </xdr:twoCellAnchor>
  <xdr:twoCellAnchor>
    <xdr:from>
      <xdr:col>11</xdr:col>
      <xdr:colOff>600075</xdr:colOff>
      <xdr:row>0</xdr:row>
      <xdr:rowOff>104775</xdr:rowOff>
    </xdr:from>
    <xdr:to>
      <xdr:col>15</xdr:col>
      <xdr:colOff>0</xdr:colOff>
      <xdr:row>5</xdr:row>
      <xdr:rowOff>28575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6589061-6751-96A0-D611-1176A1663751}"/>
            </a:ext>
          </a:extLst>
        </xdr:cNvPr>
        <xdr:cNvSpPr txBox="1"/>
      </xdr:nvSpPr>
      <xdr:spPr>
        <a:xfrm>
          <a:off x="9829800" y="104775"/>
          <a:ext cx="2552700" cy="876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shows the product that generated the highest revenue and that is Burgers with 384,033 sales while</a:t>
          </a:r>
          <a:r>
            <a:rPr lang="en-US" sz="1100" baseline="0"/>
            <a:t> Sides &amp; Other generated the lowest revenue at 50,000</a:t>
          </a:r>
          <a:endParaRPr lang="en-US" sz="1100"/>
        </a:p>
      </xdr:txBody>
    </xdr:sp>
    <xdr:clientData/>
  </xdr:twoCellAnchor>
  <xdr:twoCellAnchor>
    <xdr:from>
      <xdr:col>0</xdr:col>
      <xdr:colOff>0</xdr:colOff>
      <xdr:row>15</xdr:row>
      <xdr:rowOff>76200</xdr:rowOff>
    </xdr:from>
    <xdr:to>
      <xdr:col>3</xdr:col>
      <xdr:colOff>1085849</xdr:colOff>
      <xdr:row>18</xdr:row>
      <xdr:rowOff>161925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E571CB8-3A7E-39D7-B920-85DE9514633B}"/>
            </a:ext>
          </a:extLst>
        </xdr:cNvPr>
        <xdr:cNvSpPr txBox="1"/>
      </xdr:nvSpPr>
      <xdr:spPr>
        <a:xfrm>
          <a:off x="0" y="2933700"/>
          <a:ext cx="3228974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shows</a:t>
          </a:r>
          <a:r>
            <a:rPr lang="en-US" sz="1100" baseline="0"/>
            <a:t> the most common used purchase type which has Online as most commonly used, followed by In-store then Drive-thru as the least.</a:t>
          </a:r>
          <a:endParaRPr lang="en-US" sz="1100"/>
        </a:p>
      </xdr:txBody>
    </xdr:sp>
    <xdr:clientData/>
  </xdr:twoCellAnchor>
  <xdr:twoCellAnchor>
    <xdr:from>
      <xdr:col>5</xdr:col>
      <xdr:colOff>9525</xdr:colOff>
      <xdr:row>16</xdr:row>
      <xdr:rowOff>28575</xdr:rowOff>
    </xdr:from>
    <xdr:to>
      <xdr:col>7</xdr:col>
      <xdr:colOff>1019175</xdr:colOff>
      <xdr:row>19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8D02497-054C-CFC6-C8C9-F538280BE408}"/>
            </a:ext>
          </a:extLst>
        </xdr:cNvPr>
        <xdr:cNvSpPr txBox="1"/>
      </xdr:nvSpPr>
      <xdr:spPr>
        <a:xfrm>
          <a:off x="3952875" y="3076575"/>
          <a:ext cx="3219450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shows</a:t>
          </a:r>
          <a:r>
            <a:rPr lang="en-US" sz="1100" baseline="0"/>
            <a:t> the most used payment method which is Credit Card, followed by Cash and Gift-Card as the least.</a:t>
          </a:r>
          <a:endParaRPr lang="en-US" sz="1100"/>
        </a:p>
      </xdr:txBody>
    </xdr:sp>
    <xdr:clientData/>
  </xdr:twoCellAnchor>
  <xdr:twoCellAnchor>
    <xdr:from>
      <xdr:col>8</xdr:col>
      <xdr:colOff>885825</xdr:colOff>
      <xdr:row>16</xdr:row>
      <xdr:rowOff>47625</xdr:rowOff>
    </xdr:from>
    <xdr:to>
      <xdr:col>14</xdr:col>
      <xdr:colOff>9525</xdr:colOff>
      <xdr:row>18</xdr:row>
      <xdr:rowOff>161925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008FA28-559F-1114-05D8-6CA6F1ACE03D}"/>
            </a:ext>
          </a:extLst>
        </xdr:cNvPr>
        <xdr:cNvSpPr txBox="1"/>
      </xdr:nvSpPr>
      <xdr:spPr>
        <a:xfrm>
          <a:off x="8077200" y="3095625"/>
          <a:ext cx="3429000" cy="495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shows how sales volume</a:t>
          </a:r>
          <a:r>
            <a:rPr lang="en-US" sz="1100" baseline="0"/>
            <a:t> change over time for the months on November and December</a:t>
          </a:r>
          <a:endParaRPr lang="en-US" sz="1100"/>
        </a:p>
      </xdr:txBody>
    </xdr:sp>
    <xdr:clientData/>
  </xdr:twoCellAnchor>
  <xdr:twoCellAnchor>
    <xdr:from>
      <xdr:col>0</xdr:col>
      <xdr:colOff>19050</xdr:colOff>
      <xdr:row>27</xdr:row>
      <xdr:rowOff>28575</xdr:rowOff>
    </xdr:from>
    <xdr:to>
      <xdr:col>3</xdr:col>
      <xdr:colOff>1057275</xdr:colOff>
      <xdr:row>29</xdr:row>
      <xdr:rowOff>171450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6B74AA9-28A8-52C9-D03A-5F2B09C542DC}"/>
            </a:ext>
          </a:extLst>
        </xdr:cNvPr>
        <xdr:cNvSpPr txBox="1"/>
      </xdr:nvSpPr>
      <xdr:spPr>
        <a:xfrm>
          <a:off x="19050" y="5172075"/>
          <a:ext cx="3181350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shows the day that has the highest number of sales and that's on the 13th of November</a:t>
          </a:r>
        </a:p>
      </xdr:txBody>
    </xdr:sp>
    <xdr:clientData/>
  </xdr:twoCellAnchor>
  <xdr:twoCellAnchor>
    <xdr:from>
      <xdr:col>5</xdr:col>
      <xdr:colOff>28575</xdr:colOff>
      <xdr:row>27</xdr:row>
      <xdr:rowOff>85725</xdr:rowOff>
    </xdr:from>
    <xdr:to>
      <xdr:col>9</xdr:col>
      <xdr:colOff>657225</xdr:colOff>
      <xdr:row>29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505EAE6-F0EB-0695-6876-09769F2B5ABB}"/>
            </a:ext>
          </a:extLst>
        </xdr:cNvPr>
        <xdr:cNvSpPr txBox="1"/>
      </xdr:nvSpPr>
      <xdr:spPr>
        <a:xfrm>
          <a:off x="3971925" y="5229225"/>
          <a:ext cx="3667125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</a:t>
          </a:r>
          <a:r>
            <a:rPr lang="en-US" sz="1100" baseline="0"/>
            <a:t> shows that Joao Silva in the city of Lisbon performed better than other managers in other cities.</a:t>
          </a:r>
          <a:endParaRPr lang="en-US" sz="1100"/>
        </a:p>
      </xdr:txBody>
    </xdr:sp>
    <xdr:clientData/>
  </xdr:twoCellAnchor>
  <xdr:twoCellAnchor>
    <xdr:from>
      <xdr:col>12</xdr:col>
      <xdr:colOff>28575</xdr:colOff>
      <xdr:row>28</xdr:row>
      <xdr:rowOff>9525</xdr:rowOff>
    </xdr:from>
    <xdr:to>
      <xdr:col>17</xdr:col>
      <xdr:colOff>28575</xdr:colOff>
      <xdr:row>30</xdr:row>
      <xdr:rowOff>9525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5DBE413-6834-ED13-20D8-8231E74ACAF2}"/>
            </a:ext>
          </a:extLst>
        </xdr:cNvPr>
        <xdr:cNvSpPr txBox="1"/>
      </xdr:nvSpPr>
      <xdr:spPr>
        <a:xfrm>
          <a:off x="9705975" y="5343525"/>
          <a:ext cx="3838575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</a:t>
          </a:r>
          <a:r>
            <a:rPr lang="en-US" sz="1100" baseline="0"/>
            <a:t> shows that Burgers sold more in all the countries put together more than other products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19050</xdr:rowOff>
    </xdr:from>
    <xdr:to>
      <xdr:col>6</xdr:col>
      <xdr:colOff>476249</xdr:colOff>
      <xdr:row>14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6E5771-1B33-4D66-A02A-CB0ABECED0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14</xdr:col>
      <xdr:colOff>448056</xdr:colOff>
      <xdr:row>14</xdr:row>
      <xdr:rowOff>166116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990100-75C2-48F8-A57F-6AD43DB006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123825</xdr:colOff>
      <xdr:row>14</xdr:row>
      <xdr:rowOff>166116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C780B7-551F-4ED6-8432-5C317102A9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6</xdr:col>
      <xdr:colOff>448056</xdr:colOff>
      <xdr:row>31</xdr:row>
      <xdr:rowOff>166116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6FA38A-DE27-47B4-8A8F-6C06E13DC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18</xdr:row>
      <xdr:rowOff>0</xdr:rowOff>
    </xdr:from>
    <xdr:to>
      <xdr:col>14</xdr:col>
      <xdr:colOff>448056</xdr:colOff>
      <xdr:row>31</xdr:row>
      <xdr:rowOff>166116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50216B3-88C2-4A99-A60B-4A663D5404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18</xdr:row>
      <xdr:rowOff>0</xdr:rowOff>
    </xdr:from>
    <xdr:to>
      <xdr:col>22</xdr:col>
      <xdr:colOff>448056</xdr:colOff>
      <xdr:row>31</xdr:row>
      <xdr:rowOff>166116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286D713-304D-49B7-BFB8-24E33794FF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57150</xdr:colOff>
      <xdr:row>35</xdr:row>
      <xdr:rowOff>0</xdr:rowOff>
    </xdr:from>
    <xdr:to>
      <xdr:col>6</xdr:col>
      <xdr:colOff>505206</xdr:colOff>
      <xdr:row>48</xdr:row>
      <xdr:rowOff>166116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CE0F7E6-0297-4AC2-9C97-4FD214511E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35</xdr:row>
      <xdr:rowOff>0</xdr:rowOff>
    </xdr:from>
    <xdr:to>
      <xdr:col>14</xdr:col>
      <xdr:colOff>448056</xdr:colOff>
      <xdr:row>48</xdr:row>
      <xdr:rowOff>166116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E295758-1716-41B7-87D7-775E1003D4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609599</xdr:colOff>
      <xdr:row>35</xdr:row>
      <xdr:rowOff>0</xdr:rowOff>
    </xdr:from>
    <xdr:to>
      <xdr:col>24</xdr:col>
      <xdr:colOff>104774</xdr:colOff>
      <xdr:row>49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1B42526-CA49-410E-BC9D-CE9034622B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EAT-EMMA COMPLEX" refreshedDate="45886.828364004628" createdVersion="8" refreshedVersion="8" minRefreshableVersion="3" recordCount="257" xr:uid="{768A6098-0070-4892-BC1A-51703F5A93C8}">
  <cacheSource type="worksheet">
    <worksheetSource name="Table1"/>
  </cacheSource>
  <cacheFields count="16">
    <cacheField name="Order ID" numFmtId="0">
      <sharedItems containsSemiMixedTypes="0" containsString="0" containsNumber="1" containsInteger="1" minValue="10452" maxValue="10713"/>
    </cacheField>
    <cacheField name="Date" numFmtId="14">
      <sharedItems containsSemiMixedTypes="0" containsNonDate="0" containsDate="1" containsString="0" minDate="2022-11-07T00:00:00" maxDate="2022-12-30T00:00:00" count="53"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</sharedItems>
      <fieldGroup par="15"/>
    </cacheField>
    <cacheField name="Month" numFmtId="14">
      <sharedItems count="2">
        <s v="November"/>
        <s v="December"/>
      </sharedItems>
    </cacheField>
    <cacheField name="Day" numFmtId="14">
      <sharedItems count="7">
        <s v="Monday"/>
        <s v="Tuesday"/>
        <s v="Wednesday"/>
        <s v="Thursday"/>
        <s v="Friday"/>
        <s v="Saturday"/>
        <s v="Sunday"/>
      </sharedItems>
    </cacheField>
    <cacheField name="Product" numFmtId="0">
      <sharedItems count="5">
        <s v="Fries"/>
        <s v="Beverages"/>
        <s v="Sides &amp; Other"/>
        <s v="Burgers"/>
        <s v="Chicken Sandwiches"/>
      </sharedItems>
    </cacheField>
    <cacheField name="Price" numFmtId="164">
      <sharedItems containsSemiMixedTypes="0" containsString="0" containsNumber="1" containsInteger="1" minValue="3" maxValue="13"/>
    </cacheField>
    <cacheField name="Quantity" numFmtId="0">
      <sharedItems containsSemiMixedTypes="0" containsString="0" containsNumber="1" containsInteger="1" minValue="200" maxValue="754"/>
    </cacheField>
    <cacheField name="Purchase Type" numFmtId="0">
      <sharedItems count="3">
        <s v="Online "/>
        <s v="In-store "/>
        <s v="Drive-thru "/>
      </sharedItems>
    </cacheField>
    <cacheField name="Payment Method" numFmtId="0">
      <sharedItems count="3">
        <s v=" Gift Card"/>
        <s v=" Credit Card"/>
        <s v=" Cash"/>
      </sharedItems>
    </cacheField>
    <cacheField name="Manager" numFmtId="0">
      <sharedItems count="5">
        <s v="Tom Jackson"/>
        <s v="Pablo Perez"/>
        <s v="Joao Silva"/>
        <s v="Walter Muller"/>
        <s v="Remy Monet"/>
      </sharedItems>
    </cacheField>
    <cacheField name="City" numFmtId="0">
      <sharedItems count="5">
        <s v="London"/>
        <s v="Madrid"/>
        <s v="Lisbon"/>
        <s v="Berlin"/>
        <s v="Paris"/>
      </sharedItems>
    </cacheField>
    <cacheField name="Country" numFmtId="0">
      <sharedItems count="5">
        <s v="United Kingdom"/>
        <s v="Spain"/>
        <s v="Portugal"/>
        <s v="Germany"/>
        <s v="France"/>
      </sharedItems>
    </cacheField>
    <cacheField name="Revenue" numFmtId="164">
      <sharedItems containsSemiMixedTypes="0" containsString="0" containsNumber="1" containsInteger="1" minValue="1000" maxValue="9802" count="29">
        <n v="2292"/>
        <n v="2238"/>
        <n v="1000"/>
        <n v="7410"/>
        <n v="2010"/>
        <n v="7202"/>
        <n v="2034"/>
        <n v="2520"/>
        <n v="6799"/>
        <n v="6604"/>
        <n v="7007"/>
        <n v="2752"/>
        <n v="6201"/>
        <n v="6409"/>
        <n v="6006"/>
        <n v="5798"/>
        <n v="7605"/>
        <n v="2210"/>
        <n v="7800"/>
        <n v="8203"/>
        <n v="8411"/>
        <n v="8801"/>
        <n v="2410"/>
        <n v="2610"/>
        <n v="9009"/>
        <n v="2810"/>
        <n v="9412"/>
        <n v="3020"/>
        <n v="9802"/>
      </sharedItems>
    </cacheField>
    <cacheField name="Sales Status" numFmtId="164">
      <sharedItems/>
    </cacheField>
    <cacheField name="Days (Date)" numFmtId="0" databaseField="0">
      <fieldGroup base="1">
        <rangePr groupBy="days" startDate="2022-11-07T00:00:00" endDate="2022-12-30T00:00:00"/>
        <groupItems count="368">
          <s v="&lt;2022-11-07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22-12-30"/>
        </groupItems>
      </fieldGroup>
    </cacheField>
    <cacheField name="Months (Date)" numFmtId="0" databaseField="0">
      <fieldGroup base="1">
        <rangePr groupBy="months" startDate="2022-11-07T00:00:00" endDate="2022-12-30T00:00:00"/>
        <groupItems count="14">
          <s v="&lt;2022-11-0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2-12-3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7">
  <r>
    <n v="10452"/>
    <x v="0"/>
    <x v="0"/>
    <x v="0"/>
    <x v="0"/>
    <n v="4"/>
    <n v="573"/>
    <x v="0"/>
    <x v="0"/>
    <x v="0"/>
    <x v="0"/>
    <x v="0"/>
    <x v="0"/>
    <s v="Low Sales"/>
  </r>
  <r>
    <n v="10453"/>
    <x v="0"/>
    <x v="0"/>
    <x v="0"/>
    <x v="1"/>
    <n v="3"/>
    <n v="746"/>
    <x v="0"/>
    <x v="0"/>
    <x v="1"/>
    <x v="1"/>
    <x v="1"/>
    <x v="1"/>
    <s v="Low Sales"/>
  </r>
  <r>
    <n v="10454"/>
    <x v="0"/>
    <x v="0"/>
    <x v="0"/>
    <x v="2"/>
    <n v="5"/>
    <n v="200"/>
    <x v="1"/>
    <x v="0"/>
    <x v="2"/>
    <x v="2"/>
    <x v="2"/>
    <x v="2"/>
    <s v="Low Sales"/>
  </r>
  <r>
    <n v="10455"/>
    <x v="1"/>
    <x v="0"/>
    <x v="1"/>
    <x v="3"/>
    <n v="13"/>
    <n v="570"/>
    <x v="1"/>
    <x v="1"/>
    <x v="3"/>
    <x v="3"/>
    <x v="3"/>
    <x v="3"/>
    <s v="High Sales"/>
  </r>
  <r>
    <n v="10456"/>
    <x v="1"/>
    <x v="0"/>
    <x v="1"/>
    <x v="4"/>
    <n v="10"/>
    <n v="201"/>
    <x v="1"/>
    <x v="1"/>
    <x v="3"/>
    <x v="3"/>
    <x v="3"/>
    <x v="4"/>
    <s v="Low Sales"/>
  </r>
  <r>
    <n v="10457"/>
    <x v="1"/>
    <x v="0"/>
    <x v="1"/>
    <x v="0"/>
    <n v="4"/>
    <n v="573"/>
    <x v="1"/>
    <x v="1"/>
    <x v="4"/>
    <x v="4"/>
    <x v="4"/>
    <x v="0"/>
    <s v="Low Sales"/>
  </r>
  <r>
    <n v="10459"/>
    <x v="1"/>
    <x v="0"/>
    <x v="1"/>
    <x v="2"/>
    <n v="5"/>
    <n v="200"/>
    <x v="1"/>
    <x v="1"/>
    <x v="3"/>
    <x v="3"/>
    <x v="3"/>
    <x v="2"/>
    <s v="Low Sales"/>
  </r>
  <r>
    <n v="10460"/>
    <x v="2"/>
    <x v="0"/>
    <x v="2"/>
    <x v="3"/>
    <n v="13"/>
    <n v="554"/>
    <x v="1"/>
    <x v="1"/>
    <x v="4"/>
    <x v="4"/>
    <x v="4"/>
    <x v="5"/>
    <s v="High Sales"/>
  </r>
  <r>
    <n v="10461"/>
    <x v="2"/>
    <x v="0"/>
    <x v="2"/>
    <x v="4"/>
    <n v="10"/>
    <n v="201"/>
    <x v="1"/>
    <x v="1"/>
    <x v="4"/>
    <x v="4"/>
    <x v="4"/>
    <x v="4"/>
    <s v="Low Sales"/>
  </r>
  <r>
    <n v="10462"/>
    <x v="2"/>
    <x v="0"/>
    <x v="2"/>
    <x v="0"/>
    <n v="4"/>
    <n v="573"/>
    <x v="1"/>
    <x v="1"/>
    <x v="4"/>
    <x v="4"/>
    <x v="4"/>
    <x v="0"/>
    <s v="Low Sales"/>
  </r>
  <r>
    <n v="10463"/>
    <x v="2"/>
    <x v="0"/>
    <x v="2"/>
    <x v="1"/>
    <n v="3"/>
    <n v="678"/>
    <x v="1"/>
    <x v="1"/>
    <x v="4"/>
    <x v="4"/>
    <x v="4"/>
    <x v="6"/>
    <s v="Low Sales"/>
  </r>
  <r>
    <n v="10464"/>
    <x v="2"/>
    <x v="0"/>
    <x v="2"/>
    <x v="2"/>
    <n v="5"/>
    <n v="200"/>
    <x v="1"/>
    <x v="1"/>
    <x v="4"/>
    <x v="4"/>
    <x v="4"/>
    <x v="2"/>
    <s v="Low Sales"/>
  </r>
  <r>
    <n v="10465"/>
    <x v="3"/>
    <x v="0"/>
    <x v="3"/>
    <x v="3"/>
    <n v="13"/>
    <n v="554"/>
    <x v="1"/>
    <x v="1"/>
    <x v="1"/>
    <x v="1"/>
    <x v="1"/>
    <x v="5"/>
    <s v="High Sales"/>
  </r>
  <r>
    <n v="10466"/>
    <x v="3"/>
    <x v="0"/>
    <x v="3"/>
    <x v="4"/>
    <n v="10"/>
    <n v="201"/>
    <x v="1"/>
    <x v="1"/>
    <x v="1"/>
    <x v="1"/>
    <x v="1"/>
    <x v="4"/>
    <s v="Low Sales"/>
  </r>
  <r>
    <n v="10467"/>
    <x v="3"/>
    <x v="0"/>
    <x v="3"/>
    <x v="0"/>
    <n v="4"/>
    <n v="573"/>
    <x v="1"/>
    <x v="1"/>
    <x v="1"/>
    <x v="1"/>
    <x v="1"/>
    <x v="0"/>
    <s v="Low Sales"/>
  </r>
  <r>
    <n v="10468"/>
    <x v="3"/>
    <x v="0"/>
    <x v="3"/>
    <x v="1"/>
    <n v="3"/>
    <n v="678"/>
    <x v="1"/>
    <x v="1"/>
    <x v="1"/>
    <x v="1"/>
    <x v="1"/>
    <x v="6"/>
    <s v="Low Sales"/>
  </r>
  <r>
    <n v="10470"/>
    <x v="4"/>
    <x v="0"/>
    <x v="4"/>
    <x v="3"/>
    <n v="13"/>
    <n v="554"/>
    <x v="1"/>
    <x v="1"/>
    <x v="1"/>
    <x v="1"/>
    <x v="1"/>
    <x v="5"/>
    <s v="High Sales"/>
  </r>
  <r>
    <n v="10471"/>
    <x v="4"/>
    <x v="0"/>
    <x v="4"/>
    <x v="4"/>
    <n v="10"/>
    <n v="201"/>
    <x v="1"/>
    <x v="1"/>
    <x v="1"/>
    <x v="1"/>
    <x v="1"/>
    <x v="4"/>
    <s v="Low Sales"/>
  </r>
  <r>
    <n v="10472"/>
    <x v="4"/>
    <x v="0"/>
    <x v="4"/>
    <x v="0"/>
    <n v="4"/>
    <n v="630"/>
    <x v="1"/>
    <x v="1"/>
    <x v="1"/>
    <x v="1"/>
    <x v="1"/>
    <x v="7"/>
    <s v="Low Sales"/>
  </r>
  <r>
    <n v="10473"/>
    <x v="4"/>
    <x v="0"/>
    <x v="4"/>
    <x v="1"/>
    <n v="3"/>
    <n v="678"/>
    <x v="1"/>
    <x v="1"/>
    <x v="1"/>
    <x v="1"/>
    <x v="1"/>
    <x v="6"/>
    <s v="Low Sales"/>
  </r>
  <r>
    <n v="10474"/>
    <x v="4"/>
    <x v="0"/>
    <x v="4"/>
    <x v="2"/>
    <n v="5"/>
    <n v="200"/>
    <x v="1"/>
    <x v="1"/>
    <x v="1"/>
    <x v="1"/>
    <x v="1"/>
    <x v="2"/>
    <s v="Low Sales"/>
  </r>
  <r>
    <n v="10475"/>
    <x v="5"/>
    <x v="0"/>
    <x v="5"/>
    <x v="3"/>
    <n v="13"/>
    <n v="523"/>
    <x v="1"/>
    <x v="1"/>
    <x v="1"/>
    <x v="1"/>
    <x v="1"/>
    <x v="8"/>
    <s v="High Sales"/>
  </r>
  <r>
    <n v="10476"/>
    <x v="5"/>
    <x v="0"/>
    <x v="5"/>
    <x v="4"/>
    <n v="10"/>
    <n v="201"/>
    <x v="1"/>
    <x v="1"/>
    <x v="1"/>
    <x v="1"/>
    <x v="1"/>
    <x v="4"/>
    <s v="Low Sales"/>
  </r>
  <r>
    <n v="10477"/>
    <x v="5"/>
    <x v="0"/>
    <x v="5"/>
    <x v="0"/>
    <n v="4"/>
    <n v="630"/>
    <x v="1"/>
    <x v="1"/>
    <x v="1"/>
    <x v="1"/>
    <x v="1"/>
    <x v="7"/>
    <s v="Low Sales"/>
  </r>
  <r>
    <n v="10478"/>
    <x v="5"/>
    <x v="0"/>
    <x v="5"/>
    <x v="1"/>
    <n v="3"/>
    <n v="678"/>
    <x v="1"/>
    <x v="1"/>
    <x v="1"/>
    <x v="1"/>
    <x v="1"/>
    <x v="6"/>
    <s v="Low Sales"/>
  </r>
  <r>
    <n v="10479"/>
    <x v="5"/>
    <x v="0"/>
    <x v="5"/>
    <x v="2"/>
    <n v="5"/>
    <n v="200"/>
    <x v="1"/>
    <x v="1"/>
    <x v="1"/>
    <x v="1"/>
    <x v="1"/>
    <x v="2"/>
    <s v="Low Sales"/>
  </r>
  <r>
    <n v="10480"/>
    <x v="6"/>
    <x v="0"/>
    <x v="6"/>
    <x v="3"/>
    <n v="13"/>
    <n v="508"/>
    <x v="1"/>
    <x v="1"/>
    <x v="1"/>
    <x v="1"/>
    <x v="1"/>
    <x v="9"/>
    <s v="High Sales"/>
  </r>
  <r>
    <n v="10481"/>
    <x v="6"/>
    <x v="0"/>
    <x v="6"/>
    <x v="4"/>
    <n v="10"/>
    <n v="201"/>
    <x v="1"/>
    <x v="1"/>
    <x v="1"/>
    <x v="1"/>
    <x v="1"/>
    <x v="4"/>
    <s v="Low Sales"/>
  </r>
  <r>
    <n v="10482"/>
    <x v="6"/>
    <x v="0"/>
    <x v="6"/>
    <x v="0"/>
    <n v="4"/>
    <n v="630"/>
    <x v="1"/>
    <x v="1"/>
    <x v="2"/>
    <x v="2"/>
    <x v="2"/>
    <x v="7"/>
    <s v="Low Sales"/>
  </r>
  <r>
    <n v="10483"/>
    <x v="6"/>
    <x v="0"/>
    <x v="6"/>
    <x v="1"/>
    <n v="3"/>
    <n v="678"/>
    <x v="1"/>
    <x v="1"/>
    <x v="2"/>
    <x v="2"/>
    <x v="2"/>
    <x v="6"/>
    <s v="Low Sales"/>
  </r>
  <r>
    <n v="10484"/>
    <x v="6"/>
    <x v="0"/>
    <x v="6"/>
    <x v="2"/>
    <n v="5"/>
    <n v="200"/>
    <x v="1"/>
    <x v="1"/>
    <x v="2"/>
    <x v="2"/>
    <x v="2"/>
    <x v="2"/>
    <s v="Low Sales"/>
  </r>
  <r>
    <n v="10485"/>
    <x v="7"/>
    <x v="0"/>
    <x v="0"/>
    <x v="3"/>
    <n v="13"/>
    <n v="523"/>
    <x v="1"/>
    <x v="1"/>
    <x v="2"/>
    <x v="2"/>
    <x v="2"/>
    <x v="8"/>
    <s v="High Sales"/>
  </r>
  <r>
    <n v="10486"/>
    <x v="7"/>
    <x v="0"/>
    <x v="0"/>
    <x v="4"/>
    <n v="10"/>
    <n v="201"/>
    <x v="1"/>
    <x v="1"/>
    <x v="2"/>
    <x v="2"/>
    <x v="2"/>
    <x v="4"/>
    <s v="Low Sales"/>
  </r>
  <r>
    <n v="10487"/>
    <x v="7"/>
    <x v="0"/>
    <x v="0"/>
    <x v="0"/>
    <n v="4"/>
    <n v="630"/>
    <x v="1"/>
    <x v="1"/>
    <x v="2"/>
    <x v="2"/>
    <x v="2"/>
    <x v="7"/>
    <s v="Low Sales"/>
  </r>
  <r>
    <n v="10488"/>
    <x v="7"/>
    <x v="0"/>
    <x v="0"/>
    <x v="1"/>
    <n v="3"/>
    <n v="678"/>
    <x v="1"/>
    <x v="1"/>
    <x v="2"/>
    <x v="2"/>
    <x v="2"/>
    <x v="6"/>
    <s v="Low Sales"/>
  </r>
  <r>
    <n v="10489"/>
    <x v="7"/>
    <x v="0"/>
    <x v="0"/>
    <x v="2"/>
    <n v="5"/>
    <n v="200"/>
    <x v="1"/>
    <x v="1"/>
    <x v="1"/>
    <x v="1"/>
    <x v="1"/>
    <x v="2"/>
    <s v="Low Sales"/>
  </r>
  <r>
    <n v="10490"/>
    <x v="8"/>
    <x v="0"/>
    <x v="1"/>
    <x v="3"/>
    <n v="13"/>
    <n v="508"/>
    <x v="1"/>
    <x v="1"/>
    <x v="1"/>
    <x v="1"/>
    <x v="1"/>
    <x v="9"/>
    <s v="High Sales"/>
  </r>
  <r>
    <n v="10491"/>
    <x v="8"/>
    <x v="0"/>
    <x v="1"/>
    <x v="4"/>
    <n v="10"/>
    <n v="201"/>
    <x v="1"/>
    <x v="1"/>
    <x v="1"/>
    <x v="1"/>
    <x v="1"/>
    <x v="4"/>
    <s v="Low Sales"/>
  </r>
  <r>
    <n v="10492"/>
    <x v="8"/>
    <x v="0"/>
    <x v="1"/>
    <x v="0"/>
    <n v="4"/>
    <n v="573"/>
    <x v="1"/>
    <x v="1"/>
    <x v="1"/>
    <x v="1"/>
    <x v="1"/>
    <x v="0"/>
    <s v="Low Sales"/>
  </r>
  <r>
    <n v="10493"/>
    <x v="8"/>
    <x v="0"/>
    <x v="1"/>
    <x v="1"/>
    <n v="3"/>
    <n v="678"/>
    <x v="1"/>
    <x v="1"/>
    <x v="1"/>
    <x v="1"/>
    <x v="1"/>
    <x v="6"/>
    <s v="Low Sales"/>
  </r>
  <r>
    <n v="10494"/>
    <x v="8"/>
    <x v="0"/>
    <x v="1"/>
    <x v="2"/>
    <n v="5"/>
    <n v="200"/>
    <x v="1"/>
    <x v="1"/>
    <x v="1"/>
    <x v="1"/>
    <x v="1"/>
    <x v="2"/>
    <s v="Low Sales"/>
  </r>
  <r>
    <n v="10495"/>
    <x v="9"/>
    <x v="0"/>
    <x v="2"/>
    <x v="3"/>
    <n v="13"/>
    <n v="508"/>
    <x v="1"/>
    <x v="1"/>
    <x v="1"/>
    <x v="1"/>
    <x v="1"/>
    <x v="9"/>
    <s v="High Sales"/>
  </r>
  <r>
    <n v="10496"/>
    <x v="9"/>
    <x v="0"/>
    <x v="2"/>
    <x v="4"/>
    <n v="10"/>
    <n v="201"/>
    <x v="1"/>
    <x v="1"/>
    <x v="1"/>
    <x v="1"/>
    <x v="1"/>
    <x v="4"/>
    <s v="Low Sales"/>
  </r>
  <r>
    <n v="10497"/>
    <x v="9"/>
    <x v="0"/>
    <x v="2"/>
    <x v="0"/>
    <n v="4"/>
    <n v="573"/>
    <x v="1"/>
    <x v="1"/>
    <x v="1"/>
    <x v="1"/>
    <x v="1"/>
    <x v="0"/>
    <s v="Low Sales"/>
  </r>
  <r>
    <n v="10498"/>
    <x v="9"/>
    <x v="0"/>
    <x v="2"/>
    <x v="1"/>
    <n v="3"/>
    <n v="678"/>
    <x v="2"/>
    <x v="1"/>
    <x v="1"/>
    <x v="1"/>
    <x v="1"/>
    <x v="6"/>
    <s v="Low Sales"/>
  </r>
  <r>
    <n v="10499"/>
    <x v="9"/>
    <x v="0"/>
    <x v="2"/>
    <x v="2"/>
    <n v="5"/>
    <n v="200"/>
    <x v="2"/>
    <x v="1"/>
    <x v="1"/>
    <x v="1"/>
    <x v="1"/>
    <x v="2"/>
    <s v="Low Sales"/>
  </r>
  <r>
    <n v="10500"/>
    <x v="10"/>
    <x v="0"/>
    <x v="3"/>
    <x v="3"/>
    <n v="13"/>
    <n v="523"/>
    <x v="2"/>
    <x v="1"/>
    <x v="1"/>
    <x v="1"/>
    <x v="1"/>
    <x v="8"/>
    <s v="High Sales"/>
  </r>
  <r>
    <n v="10501"/>
    <x v="10"/>
    <x v="0"/>
    <x v="3"/>
    <x v="4"/>
    <n v="10"/>
    <n v="201"/>
    <x v="2"/>
    <x v="1"/>
    <x v="1"/>
    <x v="1"/>
    <x v="1"/>
    <x v="4"/>
    <s v="Low Sales"/>
  </r>
  <r>
    <n v="10502"/>
    <x v="10"/>
    <x v="0"/>
    <x v="3"/>
    <x v="0"/>
    <n v="4"/>
    <n v="630"/>
    <x v="2"/>
    <x v="1"/>
    <x v="1"/>
    <x v="1"/>
    <x v="1"/>
    <x v="7"/>
    <s v="Low Sales"/>
  </r>
  <r>
    <n v="10503"/>
    <x v="10"/>
    <x v="0"/>
    <x v="3"/>
    <x v="1"/>
    <n v="3"/>
    <n v="678"/>
    <x v="2"/>
    <x v="1"/>
    <x v="1"/>
    <x v="1"/>
    <x v="1"/>
    <x v="6"/>
    <s v="Low Sales"/>
  </r>
  <r>
    <n v="10504"/>
    <x v="10"/>
    <x v="0"/>
    <x v="3"/>
    <x v="2"/>
    <n v="5"/>
    <n v="200"/>
    <x v="2"/>
    <x v="1"/>
    <x v="1"/>
    <x v="1"/>
    <x v="1"/>
    <x v="2"/>
    <s v="Low Sales"/>
  </r>
  <r>
    <n v="10505"/>
    <x v="11"/>
    <x v="0"/>
    <x v="4"/>
    <x v="3"/>
    <n v="13"/>
    <n v="539"/>
    <x v="2"/>
    <x v="1"/>
    <x v="1"/>
    <x v="1"/>
    <x v="1"/>
    <x v="10"/>
    <s v="High Sales"/>
  </r>
  <r>
    <n v="10506"/>
    <x v="11"/>
    <x v="0"/>
    <x v="4"/>
    <x v="4"/>
    <n v="10"/>
    <n v="201"/>
    <x v="2"/>
    <x v="1"/>
    <x v="1"/>
    <x v="1"/>
    <x v="1"/>
    <x v="4"/>
    <s v="Low Sales"/>
  </r>
  <r>
    <n v="10507"/>
    <x v="11"/>
    <x v="0"/>
    <x v="4"/>
    <x v="0"/>
    <n v="4"/>
    <n v="688"/>
    <x v="2"/>
    <x v="1"/>
    <x v="1"/>
    <x v="1"/>
    <x v="1"/>
    <x v="11"/>
    <s v="Low Sales"/>
  </r>
  <r>
    <n v="10508"/>
    <x v="11"/>
    <x v="0"/>
    <x v="4"/>
    <x v="1"/>
    <n v="3"/>
    <n v="678"/>
    <x v="2"/>
    <x v="1"/>
    <x v="1"/>
    <x v="1"/>
    <x v="1"/>
    <x v="6"/>
    <s v="Low Sales"/>
  </r>
  <r>
    <n v="10509"/>
    <x v="11"/>
    <x v="0"/>
    <x v="4"/>
    <x v="2"/>
    <n v="5"/>
    <n v="200"/>
    <x v="2"/>
    <x v="1"/>
    <x v="1"/>
    <x v="1"/>
    <x v="1"/>
    <x v="2"/>
    <s v="Low Sales"/>
  </r>
  <r>
    <n v="10510"/>
    <x v="12"/>
    <x v="0"/>
    <x v="5"/>
    <x v="3"/>
    <n v="13"/>
    <n v="508"/>
    <x v="2"/>
    <x v="1"/>
    <x v="1"/>
    <x v="1"/>
    <x v="1"/>
    <x v="9"/>
    <s v="High Sales"/>
  </r>
  <r>
    <n v="10511"/>
    <x v="12"/>
    <x v="0"/>
    <x v="5"/>
    <x v="4"/>
    <n v="10"/>
    <n v="201"/>
    <x v="2"/>
    <x v="1"/>
    <x v="2"/>
    <x v="2"/>
    <x v="2"/>
    <x v="4"/>
    <s v="Low Sales"/>
  </r>
  <r>
    <n v="10512"/>
    <x v="12"/>
    <x v="0"/>
    <x v="5"/>
    <x v="0"/>
    <n v="4"/>
    <n v="688"/>
    <x v="2"/>
    <x v="1"/>
    <x v="2"/>
    <x v="2"/>
    <x v="2"/>
    <x v="11"/>
    <s v="Low Sales"/>
  </r>
  <r>
    <n v="10513"/>
    <x v="12"/>
    <x v="0"/>
    <x v="5"/>
    <x v="1"/>
    <n v="3"/>
    <n v="678"/>
    <x v="2"/>
    <x v="2"/>
    <x v="2"/>
    <x v="2"/>
    <x v="2"/>
    <x v="6"/>
    <s v="Low Sales"/>
  </r>
  <r>
    <n v="10514"/>
    <x v="12"/>
    <x v="0"/>
    <x v="5"/>
    <x v="2"/>
    <n v="5"/>
    <n v="200"/>
    <x v="2"/>
    <x v="2"/>
    <x v="2"/>
    <x v="2"/>
    <x v="2"/>
    <x v="2"/>
    <s v="Low Sales"/>
  </r>
  <r>
    <n v="10515"/>
    <x v="13"/>
    <x v="0"/>
    <x v="6"/>
    <x v="3"/>
    <n v="13"/>
    <n v="477"/>
    <x v="2"/>
    <x v="2"/>
    <x v="2"/>
    <x v="2"/>
    <x v="2"/>
    <x v="12"/>
    <s v="Fair Sales"/>
  </r>
  <r>
    <n v="10516"/>
    <x v="13"/>
    <x v="0"/>
    <x v="6"/>
    <x v="4"/>
    <n v="10"/>
    <n v="201"/>
    <x v="2"/>
    <x v="2"/>
    <x v="2"/>
    <x v="2"/>
    <x v="2"/>
    <x v="4"/>
    <s v="Low Sales"/>
  </r>
  <r>
    <n v="10483"/>
    <x v="6"/>
    <x v="0"/>
    <x v="6"/>
    <x v="1"/>
    <n v="3"/>
    <n v="678"/>
    <x v="1"/>
    <x v="1"/>
    <x v="2"/>
    <x v="2"/>
    <x v="2"/>
    <x v="6"/>
    <s v="Low Sales"/>
  </r>
  <r>
    <n v="10484"/>
    <x v="6"/>
    <x v="0"/>
    <x v="6"/>
    <x v="2"/>
    <n v="5"/>
    <n v="200"/>
    <x v="1"/>
    <x v="1"/>
    <x v="2"/>
    <x v="2"/>
    <x v="2"/>
    <x v="2"/>
    <s v="Low Sales"/>
  </r>
  <r>
    <n v="10485"/>
    <x v="7"/>
    <x v="0"/>
    <x v="0"/>
    <x v="3"/>
    <n v="13"/>
    <n v="523"/>
    <x v="1"/>
    <x v="1"/>
    <x v="2"/>
    <x v="2"/>
    <x v="2"/>
    <x v="8"/>
    <s v="High Sales"/>
  </r>
  <r>
    <n v="10520"/>
    <x v="14"/>
    <x v="0"/>
    <x v="0"/>
    <x v="3"/>
    <n v="13"/>
    <n v="493"/>
    <x v="2"/>
    <x v="2"/>
    <x v="4"/>
    <x v="4"/>
    <x v="4"/>
    <x v="13"/>
    <s v="Fair Sales"/>
  </r>
  <r>
    <n v="10521"/>
    <x v="14"/>
    <x v="0"/>
    <x v="0"/>
    <x v="4"/>
    <n v="10"/>
    <n v="201"/>
    <x v="2"/>
    <x v="2"/>
    <x v="4"/>
    <x v="4"/>
    <x v="4"/>
    <x v="4"/>
    <s v="Low Sales"/>
  </r>
  <r>
    <n v="10522"/>
    <x v="14"/>
    <x v="0"/>
    <x v="0"/>
    <x v="0"/>
    <n v="4"/>
    <n v="688"/>
    <x v="2"/>
    <x v="2"/>
    <x v="4"/>
    <x v="4"/>
    <x v="4"/>
    <x v="11"/>
    <s v="Low Sales"/>
  </r>
  <r>
    <n v="10523"/>
    <x v="14"/>
    <x v="0"/>
    <x v="0"/>
    <x v="1"/>
    <n v="3"/>
    <n v="746"/>
    <x v="2"/>
    <x v="2"/>
    <x v="4"/>
    <x v="4"/>
    <x v="4"/>
    <x v="1"/>
    <s v="Low Sales"/>
  </r>
  <r>
    <n v="10524"/>
    <x v="14"/>
    <x v="0"/>
    <x v="0"/>
    <x v="2"/>
    <n v="5"/>
    <n v="200"/>
    <x v="2"/>
    <x v="2"/>
    <x v="4"/>
    <x v="4"/>
    <x v="4"/>
    <x v="2"/>
    <s v="Low Sales"/>
  </r>
  <r>
    <n v="10525"/>
    <x v="15"/>
    <x v="0"/>
    <x v="1"/>
    <x v="3"/>
    <n v="13"/>
    <n v="462"/>
    <x v="2"/>
    <x v="2"/>
    <x v="4"/>
    <x v="4"/>
    <x v="4"/>
    <x v="14"/>
    <s v="Fair Sales"/>
  </r>
  <r>
    <n v="10526"/>
    <x v="15"/>
    <x v="0"/>
    <x v="1"/>
    <x v="4"/>
    <n v="10"/>
    <n v="201"/>
    <x v="2"/>
    <x v="2"/>
    <x v="4"/>
    <x v="4"/>
    <x v="4"/>
    <x v="4"/>
    <s v="Low Sales"/>
  </r>
  <r>
    <n v="10527"/>
    <x v="15"/>
    <x v="0"/>
    <x v="1"/>
    <x v="0"/>
    <n v="4"/>
    <n v="688"/>
    <x v="2"/>
    <x v="2"/>
    <x v="4"/>
    <x v="4"/>
    <x v="4"/>
    <x v="11"/>
    <s v="Low Sales"/>
  </r>
  <r>
    <n v="10528"/>
    <x v="15"/>
    <x v="0"/>
    <x v="1"/>
    <x v="1"/>
    <n v="3"/>
    <n v="746"/>
    <x v="2"/>
    <x v="2"/>
    <x v="4"/>
    <x v="4"/>
    <x v="4"/>
    <x v="1"/>
    <s v="Low Sales"/>
  </r>
  <r>
    <n v="10529"/>
    <x v="15"/>
    <x v="0"/>
    <x v="1"/>
    <x v="2"/>
    <n v="5"/>
    <n v="200"/>
    <x v="2"/>
    <x v="2"/>
    <x v="4"/>
    <x v="4"/>
    <x v="4"/>
    <x v="2"/>
    <s v="Low Sales"/>
  </r>
  <r>
    <n v="10530"/>
    <x v="16"/>
    <x v="0"/>
    <x v="2"/>
    <x v="3"/>
    <n v="13"/>
    <n v="477"/>
    <x v="2"/>
    <x v="2"/>
    <x v="4"/>
    <x v="4"/>
    <x v="4"/>
    <x v="12"/>
    <s v="Fair Sales"/>
  </r>
  <r>
    <n v="10531"/>
    <x v="16"/>
    <x v="0"/>
    <x v="2"/>
    <x v="4"/>
    <n v="10"/>
    <n v="201"/>
    <x v="2"/>
    <x v="2"/>
    <x v="4"/>
    <x v="4"/>
    <x v="4"/>
    <x v="4"/>
    <s v="Low Sales"/>
  </r>
  <r>
    <n v="10532"/>
    <x v="16"/>
    <x v="0"/>
    <x v="2"/>
    <x v="0"/>
    <n v="4"/>
    <n v="688"/>
    <x v="2"/>
    <x v="2"/>
    <x v="2"/>
    <x v="2"/>
    <x v="2"/>
    <x v="11"/>
    <s v="Low Sales"/>
  </r>
  <r>
    <n v="10533"/>
    <x v="16"/>
    <x v="0"/>
    <x v="2"/>
    <x v="1"/>
    <n v="3"/>
    <n v="746"/>
    <x v="2"/>
    <x v="2"/>
    <x v="2"/>
    <x v="2"/>
    <x v="2"/>
    <x v="1"/>
    <s v="Low Sales"/>
  </r>
  <r>
    <n v="10534"/>
    <x v="16"/>
    <x v="0"/>
    <x v="2"/>
    <x v="2"/>
    <n v="5"/>
    <n v="200"/>
    <x v="2"/>
    <x v="2"/>
    <x v="1"/>
    <x v="1"/>
    <x v="1"/>
    <x v="2"/>
    <s v="Low Sales"/>
  </r>
  <r>
    <n v="10535"/>
    <x v="17"/>
    <x v="0"/>
    <x v="3"/>
    <x v="3"/>
    <n v="13"/>
    <n v="477"/>
    <x v="2"/>
    <x v="1"/>
    <x v="1"/>
    <x v="1"/>
    <x v="1"/>
    <x v="12"/>
    <s v="Fair Sales"/>
  </r>
  <r>
    <n v="10536"/>
    <x v="17"/>
    <x v="0"/>
    <x v="3"/>
    <x v="4"/>
    <n v="10"/>
    <n v="201"/>
    <x v="2"/>
    <x v="1"/>
    <x v="1"/>
    <x v="1"/>
    <x v="1"/>
    <x v="4"/>
    <s v="Low Sales"/>
  </r>
  <r>
    <n v="10537"/>
    <x v="17"/>
    <x v="0"/>
    <x v="3"/>
    <x v="0"/>
    <n v="4"/>
    <n v="630"/>
    <x v="2"/>
    <x v="1"/>
    <x v="1"/>
    <x v="1"/>
    <x v="1"/>
    <x v="7"/>
    <s v="Low Sales"/>
  </r>
  <r>
    <n v="10538"/>
    <x v="17"/>
    <x v="0"/>
    <x v="3"/>
    <x v="1"/>
    <n v="3"/>
    <n v="746"/>
    <x v="2"/>
    <x v="1"/>
    <x v="1"/>
    <x v="1"/>
    <x v="1"/>
    <x v="1"/>
    <s v="Low Sales"/>
  </r>
  <r>
    <n v="10539"/>
    <x v="17"/>
    <x v="0"/>
    <x v="3"/>
    <x v="2"/>
    <n v="5"/>
    <n v="200"/>
    <x v="2"/>
    <x v="1"/>
    <x v="1"/>
    <x v="1"/>
    <x v="1"/>
    <x v="2"/>
    <s v="Low Sales"/>
  </r>
  <r>
    <n v="10540"/>
    <x v="18"/>
    <x v="0"/>
    <x v="4"/>
    <x v="3"/>
    <n v="13"/>
    <n v="462"/>
    <x v="2"/>
    <x v="1"/>
    <x v="1"/>
    <x v="1"/>
    <x v="1"/>
    <x v="14"/>
    <s v="Fair Sales"/>
  </r>
  <r>
    <n v="10541"/>
    <x v="18"/>
    <x v="0"/>
    <x v="4"/>
    <x v="4"/>
    <n v="10"/>
    <n v="201"/>
    <x v="2"/>
    <x v="1"/>
    <x v="0"/>
    <x v="0"/>
    <x v="0"/>
    <x v="4"/>
    <s v="Low Sales"/>
  </r>
  <r>
    <n v="10542"/>
    <x v="18"/>
    <x v="0"/>
    <x v="4"/>
    <x v="0"/>
    <n v="4"/>
    <n v="630"/>
    <x v="2"/>
    <x v="1"/>
    <x v="0"/>
    <x v="0"/>
    <x v="0"/>
    <x v="7"/>
    <s v="Low Sales"/>
  </r>
  <r>
    <n v="10543"/>
    <x v="18"/>
    <x v="0"/>
    <x v="4"/>
    <x v="1"/>
    <n v="3"/>
    <n v="746"/>
    <x v="2"/>
    <x v="1"/>
    <x v="0"/>
    <x v="0"/>
    <x v="0"/>
    <x v="1"/>
    <s v="Low Sales"/>
  </r>
  <r>
    <n v="10544"/>
    <x v="18"/>
    <x v="0"/>
    <x v="4"/>
    <x v="2"/>
    <n v="5"/>
    <n v="200"/>
    <x v="2"/>
    <x v="1"/>
    <x v="0"/>
    <x v="0"/>
    <x v="0"/>
    <x v="2"/>
    <s v="Low Sales"/>
  </r>
  <r>
    <n v="10545"/>
    <x v="19"/>
    <x v="0"/>
    <x v="5"/>
    <x v="3"/>
    <n v="13"/>
    <n v="446"/>
    <x v="2"/>
    <x v="1"/>
    <x v="0"/>
    <x v="0"/>
    <x v="0"/>
    <x v="15"/>
    <s v="Fair Sales"/>
  </r>
  <r>
    <n v="10546"/>
    <x v="19"/>
    <x v="0"/>
    <x v="5"/>
    <x v="4"/>
    <n v="10"/>
    <n v="201"/>
    <x v="2"/>
    <x v="1"/>
    <x v="0"/>
    <x v="0"/>
    <x v="0"/>
    <x v="4"/>
    <s v="Low Sales"/>
  </r>
  <r>
    <n v="10547"/>
    <x v="19"/>
    <x v="0"/>
    <x v="5"/>
    <x v="0"/>
    <n v="4"/>
    <n v="630"/>
    <x v="2"/>
    <x v="1"/>
    <x v="0"/>
    <x v="0"/>
    <x v="0"/>
    <x v="7"/>
    <s v="Low Sales"/>
  </r>
  <r>
    <n v="10548"/>
    <x v="19"/>
    <x v="0"/>
    <x v="5"/>
    <x v="1"/>
    <n v="3"/>
    <n v="746"/>
    <x v="2"/>
    <x v="1"/>
    <x v="0"/>
    <x v="0"/>
    <x v="0"/>
    <x v="1"/>
    <s v="Low Sales"/>
  </r>
  <r>
    <n v="10549"/>
    <x v="19"/>
    <x v="0"/>
    <x v="5"/>
    <x v="2"/>
    <n v="5"/>
    <n v="200"/>
    <x v="2"/>
    <x v="1"/>
    <x v="0"/>
    <x v="0"/>
    <x v="0"/>
    <x v="2"/>
    <s v="Low Sales"/>
  </r>
  <r>
    <n v="10550"/>
    <x v="20"/>
    <x v="0"/>
    <x v="6"/>
    <x v="3"/>
    <n v="13"/>
    <n v="462"/>
    <x v="2"/>
    <x v="1"/>
    <x v="0"/>
    <x v="0"/>
    <x v="0"/>
    <x v="14"/>
    <s v="Fair Sales"/>
  </r>
  <r>
    <n v="10551"/>
    <x v="20"/>
    <x v="0"/>
    <x v="6"/>
    <x v="4"/>
    <n v="10"/>
    <n v="201"/>
    <x v="2"/>
    <x v="1"/>
    <x v="0"/>
    <x v="0"/>
    <x v="0"/>
    <x v="4"/>
    <s v="Low Sales"/>
  </r>
  <r>
    <n v="10552"/>
    <x v="20"/>
    <x v="0"/>
    <x v="6"/>
    <x v="0"/>
    <n v="4"/>
    <n v="630"/>
    <x v="0"/>
    <x v="1"/>
    <x v="0"/>
    <x v="0"/>
    <x v="0"/>
    <x v="7"/>
    <s v="Low Sales"/>
  </r>
  <r>
    <n v="10553"/>
    <x v="20"/>
    <x v="0"/>
    <x v="6"/>
    <x v="1"/>
    <n v="3"/>
    <n v="746"/>
    <x v="0"/>
    <x v="1"/>
    <x v="0"/>
    <x v="0"/>
    <x v="0"/>
    <x v="1"/>
    <s v="Low Sales"/>
  </r>
  <r>
    <n v="10554"/>
    <x v="20"/>
    <x v="0"/>
    <x v="6"/>
    <x v="2"/>
    <n v="5"/>
    <n v="200"/>
    <x v="0"/>
    <x v="1"/>
    <x v="0"/>
    <x v="0"/>
    <x v="0"/>
    <x v="2"/>
    <s v="Low Sales"/>
  </r>
  <r>
    <n v="10555"/>
    <x v="21"/>
    <x v="0"/>
    <x v="0"/>
    <x v="3"/>
    <n v="13"/>
    <n v="477"/>
    <x v="0"/>
    <x v="1"/>
    <x v="0"/>
    <x v="0"/>
    <x v="0"/>
    <x v="12"/>
    <s v="Fair Sales"/>
  </r>
  <r>
    <n v="10556"/>
    <x v="21"/>
    <x v="0"/>
    <x v="0"/>
    <x v="4"/>
    <n v="10"/>
    <n v="201"/>
    <x v="0"/>
    <x v="1"/>
    <x v="0"/>
    <x v="0"/>
    <x v="0"/>
    <x v="4"/>
    <s v="Low Sales"/>
  </r>
  <r>
    <n v="10557"/>
    <x v="21"/>
    <x v="0"/>
    <x v="0"/>
    <x v="0"/>
    <n v="4"/>
    <n v="630"/>
    <x v="0"/>
    <x v="1"/>
    <x v="0"/>
    <x v="0"/>
    <x v="0"/>
    <x v="7"/>
    <s v="Low Sales"/>
  </r>
  <r>
    <n v="10558"/>
    <x v="21"/>
    <x v="0"/>
    <x v="0"/>
    <x v="1"/>
    <n v="3"/>
    <n v="678"/>
    <x v="0"/>
    <x v="1"/>
    <x v="0"/>
    <x v="0"/>
    <x v="0"/>
    <x v="6"/>
    <s v="Low Sales"/>
  </r>
  <r>
    <n v="10559"/>
    <x v="21"/>
    <x v="0"/>
    <x v="0"/>
    <x v="2"/>
    <n v="5"/>
    <n v="200"/>
    <x v="0"/>
    <x v="1"/>
    <x v="0"/>
    <x v="0"/>
    <x v="0"/>
    <x v="2"/>
    <s v="Low Sales"/>
  </r>
  <r>
    <n v="10560"/>
    <x v="22"/>
    <x v="0"/>
    <x v="1"/>
    <x v="3"/>
    <n v="13"/>
    <n v="477"/>
    <x v="0"/>
    <x v="1"/>
    <x v="0"/>
    <x v="0"/>
    <x v="0"/>
    <x v="12"/>
    <s v="Fair Sales"/>
  </r>
  <r>
    <n v="10561"/>
    <x v="22"/>
    <x v="0"/>
    <x v="1"/>
    <x v="4"/>
    <n v="10"/>
    <n v="201"/>
    <x v="0"/>
    <x v="1"/>
    <x v="0"/>
    <x v="0"/>
    <x v="0"/>
    <x v="4"/>
    <s v="Low Sales"/>
  </r>
  <r>
    <n v="10562"/>
    <x v="22"/>
    <x v="0"/>
    <x v="1"/>
    <x v="0"/>
    <n v="4"/>
    <n v="630"/>
    <x v="0"/>
    <x v="1"/>
    <x v="0"/>
    <x v="0"/>
    <x v="0"/>
    <x v="7"/>
    <s v="Low Sales"/>
  </r>
  <r>
    <n v="10563"/>
    <x v="22"/>
    <x v="0"/>
    <x v="1"/>
    <x v="1"/>
    <n v="3"/>
    <n v="678"/>
    <x v="0"/>
    <x v="1"/>
    <x v="0"/>
    <x v="0"/>
    <x v="0"/>
    <x v="6"/>
    <s v="Low Sales"/>
  </r>
  <r>
    <n v="10564"/>
    <x v="22"/>
    <x v="0"/>
    <x v="1"/>
    <x v="2"/>
    <n v="5"/>
    <n v="200"/>
    <x v="0"/>
    <x v="1"/>
    <x v="0"/>
    <x v="0"/>
    <x v="0"/>
    <x v="2"/>
    <s v="Low Sales"/>
  </r>
  <r>
    <n v="10565"/>
    <x v="23"/>
    <x v="0"/>
    <x v="2"/>
    <x v="3"/>
    <n v="13"/>
    <n v="493"/>
    <x v="0"/>
    <x v="1"/>
    <x v="0"/>
    <x v="0"/>
    <x v="0"/>
    <x v="13"/>
    <s v="Fair Sales"/>
  </r>
  <r>
    <n v="10566"/>
    <x v="23"/>
    <x v="0"/>
    <x v="2"/>
    <x v="4"/>
    <n v="10"/>
    <n v="201"/>
    <x v="0"/>
    <x v="1"/>
    <x v="0"/>
    <x v="0"/>
    <x v="0"/>
    <x v="4"/>
    <s v="Low Sales"/>
  </r>
  <r>
    <n v="10567"/>
    <x v="23"/>
    <x v="0"/>
    <x v="2"/>
    <x v="0"/>
    <n v="4"/>
    <n v="630"/>
    <x v="0"/>
    <x v="1"/>
    <x v="0"/>
    <x v="0"/>
    <x v="0"/>
    <x v="7"/>
    <s v="Low Sales"/>
  </r>
  <r>
    <n v="10568"/>
    <x v="23"/>
    <x v="0"/>
    <x v="2"/>
    <x v="1"/>
    <n v="3"/>
    <n v="678"/>
    <x v="0"/>
    <x v="1"/>
    <x v="0"/>
    <x v="0"/>
    <x v="0"/>
    <x v="6"/>
    <s v="Low Sales"/>
  </r>
  <r>
    <n v="10569"/>
    <x v="23"/>
    <x v="0"/>
    <x v="2"/>
    <x v="2"/>
    <n v="5"/>
    <n v="200"/>
    <x v="0"/>
    <x v="1"/>
    <x v="0"/>
    <x v="0"/>
    <x v="0"/>
    <x v="2"/>
    <s v="Low Sales"/>
  </r>
  <r>
    <n v="10570"/>
    <x v="24"/>
    <x v="1"/>
    <x v="3"/>
    <x v="3"/>
    <n v="13"/>
    <n v="493"/>
    <x v="0"/>
    <x v="1"/>
    <x v="0"/>
    <x v="0"/>
    <x v="0"/>
    <x v="13"/>
    <s v="Fair Sales"/>
  </r>
  <r>
    <n v="10571"/>
    <x v="24"/>
    <x v="1"/>
    <x v="3"/>
    <x v="4"/>
    <n v="10"/>
    <n v="201"/>
    <x v="0"/>
    <x v="1"/>
    <x v="0"/>
    <x v="0"/>
    <x v="0"/>
    <x v="4"/>
    <s v="Low Sales"/>
  </r>
  <r>
    <n v="10572"/>
    <x v="24"/>
    <x v="1"/>
    <x v="3"/>
    <x v="0"/>
    <n v="4"/>
    <n v="573"/>
    <x v="0"/>
    <x v="1"/>
    <x v="4"/>
    <x v="4"/>
    <x v="4"/>
    <x v="0"/>
    <s v="Low Sales"/>
  </r>
  <r>
    <n v="10573"/>
    <x v="24"/>
    <x v="1"/>
    <x v="3"/>
    <x v="1"/>
    <n v="3"/>
    <n v="678"/>
    <x v="0"/>
    <x v="1"/>
    <x v="4"/>
    <x v="4"/>
    <x v="4"/>
    <x v="6"/>
    <s v="Low Sales"/>
  </r>
  <r>
    <n v="10574"/>
    <x v="24"/>
    <x v="1"/>
    <x v="3"/>
    <x v="2"/>
    <n v="5"/>
    <n v="200"/>
    <x v="0"/>
    <x v="1"/>
    <x v="4"/>
    <x v="4"/>
    <x v="4"/>
    <x v="2"/>
    <s v="Low Sales"/>
  </r>
  <r>
    <n v="10575"/>
    <x v="25"/>
    <x v="1"/>
    <x v="4"/>
    <x v="3"/>
    <n v="13"/>
    <n v="523"/>
    <x v="0"/>
    <x v="1"/>
    <x v="4"/>
    <x v="4"/>
    <x v="4"/>
    <x v="8"/>
    <s v="High Sales"/>
  </r>
  <r>
    <n v="10576"/>
    <x v="25"/>
    <x v="1"/>
    <x v="4"/>
    <x v="4"/>
    <n v="10"/>
    <n v="201"/>
    <x v="0"/>
    <x v="1"/>
    <x v="4"/>
    <x v="4"/>
    <x v="4"/>
    <x v="4"/>
    <s v="Low Sales"/>
  </r>
  <r>
    <n v="10577"/>
    <x v="25"/>
    <x v="1"/>
    <x v="4"/>
    <x v="0"/>
    <n v="4"/>
    <n v="630"/>
    <x v="0"/>
    <x v="1"/>
    <x v="4"/>
    <x v="4"/>
    <x v="4"/>
    <x v="7"/>
    <s v="Low Sales"/>
  </r>
  <r>
    <n v="10578"/>
    <x v="25"/>
    <x v="1"/>
    <x v="4"/>
    <x v="1"/>
    <n v="3"/>
    <n v="678"/>
    <x v="0"/>
    <x v="1"/>
    <x v="4"/>
    <x v="4"/>
    <x v="4"/>
    <x v="6"/>
    <s v="Low Sales"/>
  </r>
  <r>
    <n v="10579"/>
    <x v="25"/>
    <x v="1"/>
    <x v="4"/>
    <x v="2"/>
    <n v="5"/>
    <n v="200"/>
    <x v="0"/>
    <x v="1"/>
    <x v="4"/>
    <x v="4"/>
    <x v="4"/>
    <x v="2"/>
    <s v="Low Sales"/>
  </r>
  <r>
    <n v="10580"/>
    <x v="26"/>
    <x v="1"/>
    <x v="5"/>
    <x v="3"/>
    <n v="13"/>
    <n v="523"/>
    <x v="0"/>
    <x v="1"/>
    <x v="4"/>
    <x v="4"/>
    <x v="4"/>
    <x v="8"/>
    <s v="High Sales"/>
  </r>
  <r>
    <n v="10581"/>
    <x v="26"/>
    <x v="1"/>
    <x v="5"/>
    <x v="4"/>
    <n v="10"/>
    <n v="201"/>
    <x v="0"/>
    <x v="1"/>
    <x v="4"/>
    <x v="4"/>
    <x v="4"/>
    <x v="4"/>
    <s v="Low Sales"/>
  </r>
  <r>
    <n v="10582"/>
    <x v="26"/>
    <x v="1"/>
    <x v="5"/>
    <x v="0"/>
    <n v="4"/>
    <n v="630"/>
    <x v="0"/>
    <x v="1"/>
    <x v="0"/>
    <x v="0"/>
    <x v="0"/>
    <x v="7"/>
    <s v="Low Sales"/>
  </r>
  <r>
    <n v="10583"/>
    <x v="26"/>
    <x v="1"/>
    <x v="5"/>
    <x v="1"/>
    <n v="3"/>
    <n v="678"/>
    <x v="0"/>
    <x v="1"/>
    <x v="0"/>
    <x v="0"/>
    <x v="0"/>
    <x v="6"/>
    <s v="Low Sales"/>
  </r>
  <r>
    <n v="10584"/>
    <x v="26"/>
    <x v="1"/>
    <x v="5"/>
    <x v="2"/>
    <n v="5"/>
    <n v="200"/>
    <x v="0"/>
    <x v="1"/>
    <x v="0"/>
    <x v="0"/>
    <x v="0"/>
    <x v="2"/>
    <s v="Low Sales"/>
  </r>
  <r>
    <n v="10585"/>
    <x v="27"/>
    <x v="1"/>
    <x v="6"/>
    <x v="3"/>
    <n v="13"/>
    <n v="539"/>
    <x v="0"/>
    <x v="1"/>
    <x v="0"/>
    <x v="0"/>
    <x v="0"/>
    <x v="10"/>
    <s v="High Sales"/>
  </r>
  <r>
    <n v="10586"/>
    <x v="27"/>
    <x v="1"/>
    <x v="6"/>
    <x v="4"/>
    <n v="10"/>
    <n v="201"/>
    <x v="0"/>
    <x v="1"/>
    <x v="0"/>
    <x v="0"/>
    <x v="0"/>
    <x v="4"/>
    <s v="Low Sales"/>
  </r>
  <r>
    <n v="10590"/>
    <x v="28"/>
    <x v="1"/>
    <x v="0"/>
    <x v="3"/>
    <n v="13"/>
    <n v="554"/>
    <x v="0"/>
    <x v="1"/>
    <x v="0"/>
    <x v="0"/>
    <x v="0"/>
    <x v="5"/>
    <s v="High Sales"/>
  </r>
  <r>
    <n v="10591"/>
    <x v="28"/>
    <x v="1"/>
    <x v="0"/>
    <x v="4"/>
    <n v="10"/>
    <n v="201"/>
    <x v="0"/>
    <x v="1"/>
    <x v="0"/>
    <x v="0"/>
    <x v="0"/>
    <x v="4"/>
    <s v="Low Sales"/>
  </r>
  <r>
    <n v="10592"/>
    <x v="28"/>
    <x v="1"/>
    <x v="0"/>
    <x v="0"/>
    <n v="4"/>
    <n v="573"/>
    <x v="0"/>
    <x v="1"/>
    <x v="0"/>
    <x v="0"/>
    <x v="0"/>
    <x v="0"/>
    <s v="Low Sales"/>
  </r>
  <r>
    <n v="10593"/>
    <x v="28"/>
    <x v="1"/>
    <x v="0"/>
    <x v="1"/>
    <n v="3"/>
    <n v="678"/>
    <x v="0"/>
    <x v="1"/>
    <x v="0"/>
    <x v="0"/>
    <x v="0"/>
    <x v="6"/>
    <s v="Low Sales"/>
  </r>
  <r>
    <n v="10594"/>
    <x v="28"/>
    <x v="1"/>
    <x v="0"/>
    <x v="2"/>
    <n v="5"/>
    <n v="200"/>
    <x v="0"/>
    <x v="1"/>
    <x v="0"/>
    <x v="0"/>
    <x v="0"/>
    <x v="2"/>
    <s v="Low Sales"/>
  </r>
  <r>
    <n v="10595"/>
    <x v="29"/>
    <x v="1"/>
    <x v="1"/>
    <x v="3"/>
    <n v="13"/>
    <n v="539"/>
    <x v="0"/>
    <x v="1"/>
    <x v="0"/>
    <x v="0"/>
    <x v="0"/>
    <x v="10"/>
    <s v="High Sales"/>
  </r>
  <r>
    <n v="10596"/>
    <x v="29"/>
    <x v="1"/>
    <x v="1"/>
    <x v="4"/>
    <n v="10"/>
    <n v="201"/>
    <x v="0"/>
    <x v="1"/>
    <x v="0"/>
    <x v="0"/>
    <x v="0"/>
    <x v="4"/>
    <s v="Low Sales"/>
  </r>
  <r>
    <n v="10597"/>
    <x v="29"/>
    <x v="1"/>
    <x v="1"/>
    <x v="0"/>
    <n v="4"/>
    <n v="573"/>
    <x v="0"/>
    <x v="1"/>
    <x v="0"/>
    <x v="0"/>
    <x v="0"/>
    <x v="0"/>
    <s v="Low Sales"/>
  </r>
  <r>
    <n v="10598"/>
    <x v="29"/>
    <x v="1"/>
    <x v="1"/>
    <x v="1"/>
    <n v="3"/>
    <n v="678"/>
    <x v="0"/>
    <x v="1"/>
    <x v="0"/>
    <x v="0"/>
    <x v="0"/>
    <x v="6"/>
    <s v="Low Sales"/>
  </r>
  <r>
    <n v="10599"/>
    <x v="29"/>
    <x v="1"/>
    <x v="1"/>
    <x v="2"/>
    <n v="5"/>
    <n v="200"/>
    <x v="0"/>
    <x v="1"/>
    <x v="0"/>
    <x v="0"/>
    <x v="0"/>
    <x v="2"/>
    <s v="Low Sales"/>
  </r>
  <r>
    <n v="10600"/>
    <x v="30"/>
    <x v="1"/>
    <x v="2"/>
    <x v="3"/>
    <n v="13"/>
    <n v="523"/>
    <x v="0"/>
    <x v="1"/>
    <x v="0"/>
    <x v="0"/>
    <x v="0"/>
    <x v="8"/>
    <s v="High Sales"/>
  </r>
  <r>
    <n v="10601"/>
    <x v="30"/>
    <x v="1"/>
    <x v="2"/>
    <x v="4"/>
    <n v="10"/>
    <n v="201"/>
    <x v="0"/>
    <x v="1"/>
    <x v="0"/>
    <x v="0"/>
    <x v="0"/>
    <x v="4"/>
    <s v="Low Sales"/>
  </r>
  <r>
    <n v="10602"/>
    <x v="30"/>
    <x v="1"/>
    <x v="2"/>
    <x v="0"/>
    <n v="4"/>
    <n v="630"/>
    <x v="0"/>
    <x v="2"/>
    <x v="0"/>
    <x v="0"/>
    <x v="0"/>
    <x v="7"/>
    <s v="Low Sales"/>
  </r>
  <r>
    <n v="10603"/>
    <x v="30"/>
    <x v="1"/>
    <x v="2"/>
    <x v="1"/>
    <n v="3"/>
    <n v="678"/>
    <x v="0"/>
    <x v="2"/>
    <x v="0"/>
    <x v="0"/>
    <x v="0"/>
    <x v="6"/>
    <s v="Low Sales"/>
  </r>
  <r>
    <n v="10604"/>
    <x v="30"/>
    <x v="1"/>
    <x v="2"/>
    <x v="2"/>
    <n v="5"/>
    <n v="200"/>
    <x v="0"/>
    <x v="2"/>
    <x v="0"/>
    <x v="0"/>
    <x v="0"/>
    <x v="2"/>
    <s v="Low Sales"/>
  </r>
  <r>
    <n v="10605"/>
    <x v="31"/>
    <x v="1"/>
    <x v="3"/>
    <x v="3"/>
    <n v="13"/>
    <n v="539"/>
    <x v="0"/>
    <x v="2"/>
    <x v="0"/>
    <x v="0"/>
    <x v="0"/>
    <x v="10"/>
    <s v="High Sales"/>
  </r>
  <r>
    <n v="10606"/>
    <x v="31"/>
    <x v="1"/>
    <x v="3"/>
    <x v="4"/>
    <n v="10"/>
    <n v="201"/>
    <x v="0"/>
    <x v="2"/>
    <x v="0"/>
    <x v="0"/>
    <x v="0"/>
    <x v="4"/>
    <s v="Low Sales"/>
  </r>
  <r>
    <n v="10607"/>
    <x v="31"/>
    <x v="1"/>
    <x v="3"/>
    <x v="0"/>
    <n v="4"/>
    <n v="630"/>
    <x v="0"/>
    <x v="2"/>
    <x v="0"/>
    <x v="0"/>
    <x v="0"/>
    <x v="7"/>
    <s v="Low Sales"/>
  </r>
  <r>
    <n v="10608"/>
    <x v="31"/>
    <x v="1"/>
    <x v="3"/>
    <x v="1"/>
    <n v="3"/>
    <n v="678"/>
    <x v="0"/>
    <x v="0"/>
    <x v="0"/>
    <x v="0"/>
    <x v="0"/>
    <x v="6"/>
    <s v="Low Sales"/>
  </r>
  <r>
    <n v="10609"/>
    <x v="31"/>
    <x v="1"/>
    <x v="3"/>
    <x v="2"/>
    <n v="5"/>
    <n v="200"/>
    <x v="0"/>
    <x v="0"/>
    <x v="0"/>
    <x v="0"/>
    <x v="0"/>
    <x v="2"/>
    <s v="Low Sales"/>
  </r>
  <r>
    <n v="10610"/>
    <x v="32"/>
    <x v="1"/>
    <x v="4"/>
    <x v="3"/>
    <n v="13"/>
    <n v="570"/>
    <x v="0"/>
    <x v="0"/>
    <x v="0"/>
    <x v="0"/>
    <x v="0"/>
    <x v="3"/>
    <s v="High Sales"/>
  </r>
  <r>
    <n v="10611"/>
    <x v="32"/>
    <x v="1"/>
    <x v="4"/>
    <x v="4"/>
    <n v="10"/>
    <n v="201"/>
    <x v="0"/>
    <x v="0"/>
    <x v="0"/>
    <x v="0"/>
    <x v="0"/>
    <x v="4"/>
    <s v="Low Sales"/>
  </r>
  <r>
    <n v="10612"/>
    <x v="32"/>
    <x v="1"/>
    <x v="4"/>
    <x v="0"/>
    <n v="4"/>
    <n v="630"/>
    <x v="0"/>
    <x v="0"/>
    <x v="0"/>
    <x v="0"/>
    <x v="0"/>
    <x v="7"/>
    <s v="Low Sales"/>
  </r>
  <r>
    <n v="10613"/>
    <x v="32"/>
    <x v="1"/>
    <x v="4"/>
    <x v="1"/>
    <n v="3"/>
    <n v="678"/>
    <x v="0"/>
    <x v="0"/>
    <x v="0"/>
    <x v="0"/>
    <x v="0"/>
    <x v="6"/>
    <s v="Low Sales"/>
  </r>
  <r>
    <n v="10614"/>
    <x v="32"/>
    <x v="1"/>
    <x v="4"/>
    <x v="2"/>
    <n v="5"/>
    <n v="200"/>
    <x v="0"/>
    <x v="0"/>
    <x v="0"/>
    <x v="0"/>
    <x v="0"/>
    <x v="2"/>
    <s v="Low Sales"/>
  </r>
  <r>
    <n v="10615"/>
    <x v="33"/>
    <x v="1"/>
    <x v="5"/>
    <x v="3"/>
    <n v="13"/>
    <n v="570"/>
    <x v="0"/>
    <x v="0"/>
    <x v="0"/>
    <x v="0"/>
    <x v="0"/>
    <x v="3"/>
    <s v="High Sales"/>
  </r>
  <r>
    <n v="10616"/>
    <x v="33"/>
    <x v="1"/>
    <x v="5"/>
    <x v="4"/>
    <n v="10"/>
    <n v="201"/>
    <x v="0"/>
    <x v="0"/>
    <x v="0"/>
    <x v="0"/>
    <x v="0"/>
    <x v="4"/>
    <s v="Low Sales"/>
  </r>
  <r>
    <n v="10617"/>
    <x v="33"/>
    <x v="1"/>
    <x v="5"/>
    <x v="0"/>
    <n v="4"/>
    <n v="630"/>
    <x v="0"/>
    <x v="0"/>
    <x v="0"/>
    <x v="0"/>
    <x v="0"/>
    <x v="7"/>
    <s v="Low Sales"/>
  </r>
  <r>
    <n v="10618"/>
    <x v="33"/>
    <x v="1"/>
    <x v="5"/>
    <x v="1"/>
    <n v="3"/>
    <n v="678"/>
    <x v="0"/>
    <x v="0"/>
    <x v="0"/>
    <x v="0"/>
    <x v="0"/>
    <x v="6"/>
    <s v="Low Sales"/>
  </r>
  <r>
    <n v="10619"/>
    <x v="33"/>
    <x v="1"/>
    <x v="5"/>
    <x v="2"/>
    <n v="5"/>
    <n v="200"/>
    <x v="0"/>
    <x v="0"/>
    <x v="0"/>
    <x v="0"/>
    <x v="0"/>
    <x v="2"/>
    <s v="Low Sales"/>
  </r>
  <r>
    <n v="10620"/>
    <x v="34"/>
    <x v="1"/>
    <x v="6"/>
    <x v="3"/>
    <n v="13"/>
    <n v="585"/>
    <x v="0"/>
    <x v="0"/>
    <x v="0"/>
    <x v="0"/>
    <x v="0"/>
    <x v="16"/>
    <s v="High Sales"/>
  </r>
  <r>
    <n v="10621"/>
    <x v="34"/>
    <x v="1"/>
    <x v="6"/>
    <x v="4"/>
    <n v="10"/>
    <n v="201"/>
    <x v="0"/>
    <x v="0"/>
    <x v="0"/>
    <x v="0"/>
    <x v="0"/>
    <x v="4"/>
    <s v="Low Sales"/>
  </r>
  <r>
    <n v="10622"/>
    <x v="34"/>
    <x v="1"/>
    <x v="6"/>
    <x v="0"/>
    <n v="4"/>
    <n v="630"/>
    <x v="0"/>
    <x v="0"/>
    <x v="0"/>
    <x v="0"/>
    <x v="0"/>
    <x v="7"/>
    <s v="Low Sales"/>
  </r>
  <r>
    <n v="10623"/>
    <x v="34"/>
    <x v="1"/>
    <x v="6"/>
    <x v="1"/>
    <n v="3"/>
    <n v="746"/>
    <x v="0"/>
    <x v="0"/>
    <x v="0"/>
    <x v="0"/>
    <x v="0"/>
    <x v="1"/>
    <s v="Low Sales"/>
  </r>
  <r>
    <n v="10624"/>
    <x v="34"/>
    <x v="1"/>
    <x v="6"/>
    <x v="2"/>
    <n v="5"/>
    <n v="200"/>
    <x v="0"/>
    <x v="0"/>
    <x v="0"/>
    <x v="0"/>
    <x v="0"/>
    <x v="2"/>
    <s v="Low Sales"/>
  </r>
  <r>
    <n v="10625"/>
    <x v="35"/>
    <x v="1"/>
    <x v="0"/>
    <x v="3"/>
    <n v="13"/>
    <n v="570"/>
    <x v="0"/>
    <x v="0"/>
    <x v="0"/>
    <x v="0"/>
    <x v="0"/>
    <x v="3"/>
    <s v="High Sales"/>
  </r>
  <r>
    <n v="10626"/>
    <x v="35"/>
    <x v="1"/>
    <x v="0"/>
    <x v="4"/>
    <n v="10"/>
    <n v="201"/>
    <x v="0"/>
    <x v="0"/>
    <x v="0"/>
    <x v="0"/>
    <x v="0"/>
    <x v="4"/>
    <s v="Low Sales"/>
  </r>
  <r>
    <n v="10627"/>
    <x v="35"/>
    <x v="1"/>
    <x v="0"/>
    <x v="0"/>
    <n v="4"/>
    <n v="630"/>
    <x v="0"/>
    <x v="0"/>
    <x v="0"/>
    <x v="0"/>
    <x v="0"/>
    <x v="7"/>
    <s v="Low Sales"/>
  </r>
  <r>
    <n v="10628"/>
    <x v="35"/>
    <x v="1"/>
    <x v="0"/>
    <x v="1"/>
    <n v="3"/>
    <n v="678"/>
    <x v="0"/>
    <x v="0"/>
    <x v="2"/>
    <x v="2"/>
    <x v="2"/>
    <x v="6"/>
    <s v="Low Sales"/>
  </r>
  <r>
    <n v="10629"/>
    <x v="35"/>
    <x v="1"/>
    <x v="0"/>
    <x v="2"/>
    <n v="5"/>
    <n v="200"/>
    <x v="0"/>
    <x v="0"/>
    <x v="2"/>
    <x v="2"/>
    <x v="2"/>
    <x v="2"/>
    <s v="Low Sales"/>
  </r>
  <r>
    <n v="10630"/>
    <x v="36"/>
    <x v="1"/>
    <x v="1"/>
    <x v="3"/>
    <n v="13"/>
    <n v="570"/>
    <x v="0"/>
    <x v="2"/>
    <x v="2"/>
    <x v="2"/>
    <x v="2"/>
    <x v="3"/>
    <s v="High Sales"/>
  </r>
  <r>
    <n v="10631"/>
    <x v="36"/>
    <x v="1"/>
    <x v="1"/>
    <x v="4"/>
    <n v="10"/>
    <n v="201"/>
    <x v="0"/>
    <x v="0"/>
    <x v="2"/>
    <x v="2"/>
    <x v="2"/>
    <x v="4"/>
    <s v="Low Sales"/>
  </r>
  <r>
    <n v="10632"/>
    <x v="36"/>
    <x v="1"/>
    <x v="1"/>
    <x v="0"/>
    <n v="4"/>
    <n v="630"/>
    <x v="0"/>
    <x v="0"/>
    <x v="2"/>
    <x v="2"/>
    <x v="2"/>
    <x v="7"/>
    <s v="Low Sales"/>
  </r>
  <r>
    <n v="10633"/>
    <x v="36"/>
    <x v="1"/>
    <x v="1"/>
    <x v="1"/>
    <n v="3"/>
    <n v="678"/>
    <x v="0"/>
    <x v="0"/>
    <x v="2"/>
    <x v="2"/>
    <x v="2"/>
    <x v="6"/>
    <s v="Low Sales"/>
  </r>
  <r>
    <n v="10634"/>
    <x v="36"/>
    <x v="1"/>
    <x v="1"/>
    <x v="2"/>
    <n v="5"/>
    <n v="200"/>
    <x v="0"/>
    <x v="0"/>
    <x v="2"/>
    <x v="2"/>
    <x v="2"/>
    <x v="2"/>
    <s v="Low Sales"/>
  </r>
  <r>
    <n v="10635"/>
    <x v="37"/>
    <x v="1"/>
    <x v="2"/>
    <x v="3"/>
    <n v="13"/>
    <n v="554"/>
    <x v="0"/>
    <x v="0"/>
    <x v="2"/>
    <x v="2"/>
    <x v="2"/>
    <x v="5"/>
    <s v="High Sales"/>
  </r>
  <r>
    <n v="10636"/>
    <x v="37"/>
    <x v="1"/>
    <x v="2"/>
    <x v="4"/>
    <n v="10"/>
    <n v="221"/>
    <x v="0"/>
    <x v="0"/>
    <x v="2"/>
    <x v="2"/>
    <x v="2"/>
    <x v="17"/>
    <s v="Low Sales"/>
  </r>
  <r>
    <n v="10637"/>
    <x v="37"/>
    <x v="1"/>
    <x v="2"/>
    <x v="0"/>
    <n v="4"/>
    <n v="630"/>
    <x v="0"/>
    <x v="0"/>
    <x v="2"/>
    <x v="2"/>
    <x v="2"/>
    <x v="7"/>
    <s v="Low Sales"/>
  </r>
  <r>
    <n v="10638"/>
    <x v="37"/>
    <x v="1"/>
    <x v="2"/>
    <x v="1"/>
    <n v="3"/>
    <n v="678"/>
    <x v="0"/>
    <x v="0"/>
    <x v="2"/>
    <x v="2"/>
    <x v="2"/>
    <x v="6"/>
    <s v="Low Sales"/>
  </r>
  <r>
    <n v="10639"/>
    <x v="37"/>
    <x v="1"/>
    <x v="2"/>
    <x v="2"/>
    <n v="5"/>
    <n v="200"/>
    <x v="0"/>
    <x v="0"/>
    <x v="2"/>
    <x v="2"/>
    <x v="2"/>
    <x v="2"/>
    <s v="Low Sales"/>
  </r>
  <r>
    <n v="10640"/>
    <x v="38"/>
    <x v="1"/>
    <x v="3"/>
    <x v="3"/>
    <n v="13"/>
    <n v="539"/>
    <x v="0"/>
    <x v="0"/>
    <x v="2"/>
    <x v="2"/>
    <x v="2"/>
    <x v="10"/>
    <s v="High Sales"/>
  </r>
  <r>
    <n v="10641"/>
    <x v="38"/>
    <x v="1"/>
    <x v="3"/>
    <x v="4"/>
    <n v="10"/>
    <n v="221"/>
    <x v="0"/>
    <x v="0"/>
    <x v="2"/>
    <x v="2"/>
    <x v="2"/>
    <x v="17"/>
    <s v="Low Sales"/>
  </r>
  <r>
    <n v="10642"/>
    <x v="38"/>
    <x v="1"/>
    <x v="3"/>
    <x v="0"/>
    <n v="4"/>
    <n v="630"/>
    <x v="0"/>
    <x v="2"/>
    <x v="2"/>
    <x v="2"/>
    <x v="2"/>
    <x v="7"/>
    <s v="Low Sales"/>
  </r>
  <r>
    <n v="10643"/>
    <x v="38"/>
    <x v="1"/>
    <x v="3"/>
    <x v="1"/>
    <n v="3"/>
    <n v="678"/>
    <x v="0"/>
    <x v="2"/>
    <x v="2"/>
    <x v="2"/>
    <x v="2"/>
    <x v="6"/>
    <s v="Low Sales"/>
  </r>
  <r>
    <n v="10644"/>
    <x v="38"/>
    <x v="1"/>
    <x v="3"/>
    <x v="2"/>
    <n v="5"/>
    <n v="200"/>
    <x v="0"/>
    <x v="2"/>
    <x v="2"/>
    <x v="2"/>
    <x v="2"/>
    <x v="2"/>
    <s v="Low Sales"/>
  </r>
  <r>
    <n v="10645"/>
    <x v="39"/>
    <x v="1"/>
    <x v="4"/>
    <x v="3"/>
    <n v="13"/>
    <n v="570"/>
    <x v="0"/>
    <x v="2"/>
    <x v="2"/>
    <x v="2"/>
    <x v="2"/>
    <x v="3"/>
    <s v="High Sales"/>
  </r>
  <r>
    <n v="10646"/>
    <x v="39"/>
    <x v="1"/>
    <x v="4"/>
    <x v="4"/>
    <n v="10"/>
    <n v="221"/>
    <x v="0"/>
    <x v="2"/>
    <x v="2"/>
    <x v="2"/>
    <x v="2"/>
    <x v="17"/>
    <s v="Low Sales"/>
  </r>
  <r>
    <n v="10647"/>
    <x v="39"/>
    <x v="1"/>
    <x v="4"/>
    <x v="0"/>
    <n v="4"/>
    <n v="630"/>
    <x v="0"/>
    <x v="0"/>
    <x v="2"/>
    <x v="2"/>
    <x v="2"/>
    <x v="7"/>
    <s v="Low Sales"/>
  </r>
  <r>
    <n v="10648"/>
    <x v="39"/>
    <x v="1"/>
    <x v="4"/>
    <x v="1"/>
    <n v="3"/>
    <n v="746"/>
    <x v="0"/>
    <x v="0"/>
    <x v="2"/>
    <x v="2"/>
    <x v="2"/>
    <x v="1"/>
    <s v="Low Sales"/>
  </r>
  <r>
    <n v="10649"/>
    <x v="39"/>
    <x v="1"/>
    <x v="4"/>
    <x v="2"/>
    <n v="5"/>
    <n v="200"/>
    <x v="0"/>
    <x v="0"/>
    <x v="2"/>
    <x v="2"/>
    <x v="2"/>
    <x v="2"/>
    <s v="Low Sales"/>
  </r>
  <r>
    <n v="10650"/>
    <x v="40"/>
    <x v="1"/>
    <x v="5"/>
    <x v="3"/>
    <n v="13"/>
    <n v="585"/>
    <x v="0"/>
    <x v="0"/>
    <x v="2"/>
    <x v="2"/>
    <x v="2"/>
    <x v="16"/>
    <s v="High Sales"/>
  </r>
  <r>
    <n v="10651"/>
    <x v="40"/>
    <x v="1"/>
    <x v="5"/>
    <x v="4"/>
    <n v="10"/>
    <n v="221"/>
    <x v="0"/>
    <x v="0"/>
    <x v="2"/>
    <x v="2"/>
    <x v="2"/>
    <x v="17"/>
    <s v="Low Sales"/>
  </r>
  <r>
    <n v="10652"/>
    <x v="40"/>
    <x v="1"/>
    <x v="5"/>
    <x v="0"/>
    <n v="4"/>
    <n v="688"/>
    <x v="0"/>
    <x v="0"/>
    <x v="2"/>
    <x v="2"/>
    <x v="2"/>
    <x v="11"/>
    <s v="Low Sales"/>
  </r>
  <r>
    <n v="10653"/>
    <x v="40"/>
    <x v="1"/>
    <x v="5"/>
    <x v="1"/>
    <n v="3"/>
    <n v="746"/>
    <x v="0"/>
    <x v="0"/>
    <x v="2"/>
    <x v="2"/>
    <x v="2"/>
    <x v="1"/>
    <s v="Low Sales"/>
  </r>
  <r>
    <n v="10654"/>
    <x v="40"/>
    <x v="1"/>
    <x v="5"/>
    <x v="2"/>
    <n v="5"/>
    <n v="200"/>
    <x v="0"/>
    <x v="0"/>
    <x v="2"/>
    <x v="2"/>
    <x v="2"/>
    <x v="2"/>
    <s v="Low Sales"/>
  </r>
  <r>
    <n v="10655"/>
    <x v="41"/>
    <x v="1"/>
    <x v="6"/>
    <x v="3"/>
    <n v="13"/>
    <n v="600"/>
    <x v="0"/>
    <x v="0"/>
    <x v="2"/>
    <x v="2"/>
    <x v="2"/>
    <x v="18"/>
    <s v="High Sales"/>
  </r>
  <r>
    <n v="10656"/>
    <x v="41"/>
    <x v="1"/>
    <x v="6"/>
    <x v="4"/>
    <n v="10"/>
    <n v="221"/>
    <x v="0"/>
    <x v="0"/>
    <x v="2"/>
    <x v="2"/>
    <x v="2"/>
    <x v="17"/>
    <s v="Low Sales"/>
  </r>
  <r>
    <n v="10657"/>
    <x v="41"/>
    <x v="1"/>
    <x v="6"/>
    <x v="0"/>
    <n v="4"/>
    <n v="688"/>
    <x v="0"/>
    <x v="0"/>
    <x v="2"/>
    <x v="2"/>
    <x v="2"/>
    <x v="11"/>
    <s v="Low Sales"/>
  </r>
  <r>
    <n v="10658"/>
    <x v="41"/>
    <x v="1"/>
    <x v="6"/>
    <x v="1"/>
    <n v="3"/>
    <n v="746"/>
    <x v="0"/>
    <x v="2"/>
    <x v="2"/>
    <x v="2"/>
    <x v="2"/>
    <x v="1"/>
    <s v="Low Sales"/>
  </r>
  <r>
    <n v="10659"/>
    <x v="41"/>
    <x v="1"/>
    <x v="6"/>
    <x v="2"/>
    <n v="5"/>
    <n v="200"/>
    <x v="0"/>
    <x v="2"/>
    <x v="2"/>
    <x v="2"/>
    <x v="2"/>
    <x v="2"/>
    <s v="Low Sales"/>
  </r>
  <r>
    <n v="10660"/>
    <x v="42"/>
    <x v="1"/>
    <x v="0"/>
    <x v="3"/>
    <n v="13"/>
    <n v="631"/>
    <x v="1"/>
    <x v="2"/>
    <x v="2"/>
    <x v="2"/>
    <x v="2"/>
    <x v="19"/>
    <s v="High Sales"/>
  </r>
  <r>
    <n v="10661"/>
    <x v="42"/>
    <x v="1"/>
    <x v="0"/>
    <x v="4"/>
    <n v="10"/>
    <n v="221"/>
    <x v="1"/>
    <x v="2"/>
    <x v="2"/>
    <x v="2"/>
    <x v="2"/>
    <x v="17"/>
    <s v="Low Sales"/>
  </r>
  <r>
    <n v="10662"/>
    <x v="42"/>
    <x v="1"/>
    <x v="0"/>
    <x v="0"/>
    <n v="4"/>
    <n v="630"/>
    <x v="1"/>
    <x v="2"/>
    <x v="2"/>
    <x v="2"/>
    <x v="2"/>
    <x v="7"/>
    <s v="Low Sales"/>
  </r>
  <r>
    <n v="10663"/>
    <x v="42"/>
    <x v="1"/>
    <x v="0"/>
    <x v="1"/>
    <n v="3"/>
    <n v="746"/>
    <x v="1"/>
    <x v="2"/>
    <x v="2"/>
    <x v="2"/>
    <x v="2"/>
    <x v="1"/>
    <s v="Low Sales"/>
  </r>
  <r>
    <n v="10664"/>
    <x v="42"/>
    <x v="1"/>
    <x v="0"/>
    <x v="2"/>
    <n v="5"/>
    <n v="200"/>
    <x v="1"/>
    <x v="2"/>
    <x v="2"/>
    <x v="2"/>
    <x v="2"/>
    <x v="2"/>
    <s v="Low Sales"/>
  </r>
  <r>
    <n v="10665"/>
    <x v="43"/>
    <x v="1"/>
    <x v="1"/>
    <x v="3"/>
    <n v="13"/>
    <n v="647"/>
    <x v="1"/>
    <x v="2"/>
    <x v="2"/>
    <x v="2"/>
    <x v="2"/>
    <x v="20"/>
    <s v="High Sales"/>
  </r>
  <r>
    <n v="10666"/>
    <x v="43"/>
    <x v="1"/>
    <x v="1"/>
    <x v="4"/>
    <n v="10"/>
    <n v="221"/>
    <x v="1"/>
    <x v="2"/>
    <x v="2"/>
    <x v="2"/>
    <x v="2"/>
    <x v="17"/>
    <s v="Low Sales"/>
  </r>
  <r>
    <n v="10667"/>
    <x v="43"/>
    <x v="1"/>
    <x v="1"/>
    <x v="0"/>
    <n v="4"/>
    <n v="630"/>
    <x v="1"/>
    <x v="2"/>
    <x v="2"/>
    <x v="2"/>
    <x v="2"/>
    <x v="7"/>
    <s v="Low Sales"/>
  </r>
  <r>
    <n v="10668"/>
    <x v="43"/>
    <x v="1"/>
    <x v="1"/>
    <x v="1"/>
    <n v="3"/>
    <n v="746"/>
    <x v="1"/>
    <x v="2"/>
    <x v="2"/>
    <x v="2"/>
    <x v="2"/>
    <x v="1"/>
    <s v="Low Sales"/>
  </r>
  <r>
    <n v="10669"/>
    <x v="43"/>
    <x v="1"/>
    <x v="1"/>
    <x v="2"/>
    <n v="5"/>
    <n v="200"/>
    <x v="1"/>
    <x v="2"/>
    <x v="2"/>
    <x v="2"/>
    <x v="2"/>
    <x v="2"/>
    <s v="Low Sales"/>
  </r>
  <r>
    <n v="10670"/>
    <x v="44"/>
    <x v="1"/>
    <x v="2"/>
    <x v="3"/>
    <n v="13"/>
    <n v="677"/>
    <x v="1"/>
    <x v="2"/>
    <x v="2"/>
    <x v="2"/>
    <x v="2"/>
    <x v="21"/>
    <s v="High Sales"/>
  </r>
  <r>
    <n v="10671"/>
    <x v="44"/>
    <x v="1"/>
    <x v="2"/>
    <x v="4"/>
    <n v="10"/>
    <n v="221"/>
    <x v="1"/>
    <x v="2"/>
    <x v="2"/>
    <x v="2"/>
    <x v="2"/>
    <x v="17"/>
    <s v="Low Sales"/>
  </r>
  <r>
    <n v="10672"/>
    <x v="44"/>
    <x v="1"/>
    <x v="2"/>
    <x v="0"/>
    <n v="4"/>
    <n v="630"/>
    <x v="1"/>
    <x v="2"/>
    <x v="2"/>
    <x v="2"/>
    <x v="2"/>
    <x v="7"/>
    <s v="Low Sales"/>
  </r>
  <r>
    <n v="10673"/>
    <x v="44"/>
    <x v="1"/>
    <x v="2"/>
    <x v="1"/>
    <n v="3"/>
    <n v="746"/>
    <x v="1"/>
    <x v="2"/>
    <x v="2"/>
    <x v="2"/>
    <x v="2"/>
    <x v="1"/>
    <s v="Low Sales"/>
  </r>
  <r>
    <n v="10674"/>
    <x v="44"/>
    <x v="1"/>
    <x v="2"/>
    <x v="2"/>
    <n v="5"/>
    <n v="200"/>
    <x v="1"/>
    <x v="2"/>
    <x v="2"/>
    <x v="2"/>
    <x v="2"/>
    <x v="2"/>
    <s v="Low Sales"/>
  </r>
  <r>
    <n v="10675"/>
    <x v="45"/>
    <x v="1"/>
    <x v="3"/>
    <x v="3"/>
    <n v="13"/>
    <n v="677"/>
    <x v="1"/>
    <x v="2"/>
    <x v="2"/>
    <x v="2"/>
    <x v="2"/>
    <x v="21"/>
    <s v="High Sales"/>
  </r>
  <r>
    <n v="10676"/>
    <x v="45"/>
    <x v="1"/>
    <x v="3"/>
    <x v="4"/>
    <n v="10"/>
    <n v="241"/>
    <x v="1"/>
    <x v="2"/>
    <x v="2"/>
    <x v="2"/>
    <x v="2"/>
    <x v="22"/>
    <s v="Low Sales"/>
  </r>
  <r>
    <n v="10677"/>
    <x v="45"/>
    <x v="1"/>
    <x v="3"/>
    <x v="0"/>
    <n v="4"/>
    <n v="630"/>
    <x v="1"/>
    <x v="2"/>
    <x v="2"/>
    <x v="2"/>
    <x v="2"/>
    <x v="7"/>
    <s v="Low Sales"/>
  </r>
  <r>
    <n v="10678"/>
    <x v="45"/>
    <x v="1"/>
    <x v="3"/>
    <x v="1"/>
    <n v="3"/>
    <n v="746"/>
    <x v="1"/>
    <x v="2"/>
    <x v="2"/>
    <x v="2"/>
    <x v="2"/>
    <x v="1"/>
    <s v="Low Sales"/>
  </r>
  <r>
    <n v="10679"/>
    <x v="45"/>
    <x v="1"/>
    <x v="3"/>
    <x v="2"/>
    <n v="5"/>
    <n v="200"/>
    <x v="1"/>
    <x v="2"/>
    <x v="2"/>
    <x v="2"/>
    <x v="2"/>
    <x v="2"/>
    <s v="Low Sales"/>
  </r>
  <r>
    <n v="10680"/>
    <x v="46"/>
    <x v="1"/>
    <x v="4"/>
    <x v="3"/>
    <n v="13"/>
    <n v="647"/>
    <x v="1"/>
    <x v="2"/>
    <x v="2"/>
    <x v="2"/>
    <x v="2"/>
    <x v="20"/>
    <s v="High Sales"/>
  </r>
  <r>
    <n v="10681"/>
    <x v="46"/>
    <x v="1"/>
    <x v="4"/>
    <x v="4"/>
    <n v="10"/>
    <n v="241"/>
    <x v="1"/>
    <x v="2"/>
    <x v="2"/>
    <x v="2"/>
    <x v="2"/>
    <x v="22"/>
    <s v="Low Sales"/>
  </r>
  <r>
    <n v="10682"/>
    <x v="46"/>
    <x v="1"/>
    <x v="4"/>
    <x v="0"/>
    <n v="4"/>
    <n v="630"/>
    <x v="1"/>
    <x v="2"/>
    <x v="2"/>
    <x v="2"/>
    <x v="2"/>
    <x v="7"/>
    <s v="Low Sales"/>
  </r>
  <r>
    <n v="10683"/>
    <x v="46"/>
    <x v="1"/>
    <x v="4"/>
    <x v="1"/>
    <n v="3"/>
    <n v="678"/>
    <x v="1"/>
    <x v="2"/>
    <x v="2"/>
    <x v="2"/>
    <x v="2"/>
    <x v="6"/>
    <s v="Low Sales"/>
  </r>
  <r>
    <n v="10684"/>
    <x v="46"/>
    <x v="1"/>
    <x v="4"/>
    <x v="2"/>
    <n v="5"/>
    <n v="200"/>
    <x v="1"/>
    <x v="2"/>
    <x v="2"/>
    <x v="2"/>
    <x v="2"/>
    <x v="2"/>
    <s v="Low Sales"/>
  </r>
  <r>
    <n v="10685"/>
    <x v="47"/>
    <x v="1"/>
    <x v="5"/>
    <x v="3"/>
    <n v="13"/>
    <n v="677"/>
    <x v="1"/>
    <x v="2"/>
    <x v="2"/>
    <x v="2"/>
    <x v="2"/>
    <x v="21"/>
    <s v="High Sales"/>
  </r>
  <r>
    <n v="10686"/>
    <x v="47"/>
    <x v="1"/>
    <x v="5"/>
    <x v="4"/>
    <n v="10"/>
    <n v="241"/>
    <x v="1"/>
    <x v="2"/>
    <x v="2"/>
    <x v="2"/>
    <x v="2"/>
    <x v="22"/>
    <s v="Low Sales"/>
  </r>
  <r>
    <n v="10687"/>
    <x v="47"/>
    <x v="1"/>
    <x v="5"/>
    <x v="0"/>
    <n v="4"/>
    <n v="630"/>
    <x v="1"/>
    <x v="2"/>
    <x v="3"/>
    <x v="3"/>
    <x v="3"/>
    <x v="7"/>
    <s v="Low Sales"/>
  </r>
  <r>
    <n v="10688"/>
    <x v="47"/>
    <x v="1"/>
    <x v="5"/>
    <x v="1"/>
    <n v="3"/>
    <n v="678"/>
    <x v="1"/>
    <x v="2"/>
    <x v="3"/>
    <x v="3"/>
    <x v="3"/>
    <x v="6"/>
    <s v="Low Sales"/>
  </r>
  <r>
    <n v="10689"/>
    <x v="47"/>
    <x v="1"/>
    <x v="5"/>
    <x v="2"/>
    <n v="5"/>
    <n v="200"/>
    <x v="1"/>
    <x v="2"/>
    <x v="3"/>
    <x v="3"/>
    <x v="3"/>
    <x v="2"/>
    <s v="Low Sales"/>
  </r>
  <r>
    <n v="10690"/>
    <x v="48"/>
    <x v="1"/>
    <x v="6"/>
    <x v="3"/>
    <n v="13"/>
    <n v="677"/>
    <x v="1"/>
    <x v="2"/>
    <x v="3"/>
    <x v="3"/>
    <x v="3"/>
    <x v="21"/>
    <s v="High Sales"/>
  </r>
  <r>
    <n v="10691"/>
    <x v="48"/>
    <x v="1"/>
    <x v="6"/>
    <x v="4"/>
    <n v="10"/>
    <n v="261"/>
    <x v="1"/>
    <x v="2"/>
    <x v="3"/>
    <x v="3"/>
    <x v="3"/>
    <x v="23"/>
    <s v="Low Sales"/>
  </r>
  <r>
    <n v="10692"/>
    <x v="48"/>
    <x v="1"/>
    <x v="6"/>
    <x v="0"/>
    <n v="4"/>
    <n v="630"/>
    <x v="1"/>
    <x v="2"/>
    <x v="3"/>
    <x v="3"/>
    <x v="3"/>
    <x v="7"/>
    <s v="Low Sales"/>
  </r>
  <r>
    <n v="10693"/>
    <x v="48"/>
    <x v="1"/>
    <x v="6"/>
    <x v="1"/>
    <n v="3"/>
    <n v="678"/>
    <x v="1"/>
    <x v="2"/>
    <x v="3"/>
    <x v="3"/>
    <x v="3"/>
    <x v="6"/>
    <s v="Low Sales"/>
  </r>
  <r>
    <n v="10694"/>
    <x v="48"/>
    <x v="1"/>
    <x v="6"/>
    <x v="2"/>
    <n v="5"/>
    <n v="200"/>
    <x v="1"/>
    <x v="2"/>
    <x v="3"/>
    <x v="3"/>
    <x v="3"/>
    <x v="2"/>
    <s v="Low Sales"/>
  </r>
  <r>
    <n v="10695"/>
    <x v="49"/>
    <x v="1"/>
    <x v="0"/>
    <x v="3"/>
    <n v="13"/>
    <n v="693"/>
    <x v="1"/>
    <x v="2"/>
    <x v="3"/>
    <x v="3"/>
    <x v="3"/>
    <x v="24"/>
    <s v="High Sales"/>
  </r>
  <r>
    <n v="10696"/>
    <x v="49"/>
    <x v="1"/>
    <x v="0"/>
    <x v="4"/>
    <n v="10"/>
    <n v="281"/>
    <x v="1"/>
    <x v="2"/>
    <x v="3"/>
    <x v="3"/>
    <x v="3"/>
    <x v="25"/>
    <s v="Low Sales"/>
  </r>
  <r>
    <n v="10697"/>
    <x v="49"/>
    <x v="1"/>
    <x v="0"/>
    <x v="0"/>
    <n v="4"/>
    <n v="630"/>
    <x v="1"/>
    <x v="2"/>
    <x v="3"/>
    <x v="3"/>
    <x v="3"/>
    <x v="7"/>
    <s v="Low Sales"/>
  </r>
  <r>
    <n v="10698"/>
    <x v="49"/>
    <x v="1"/>
    <x v="0"/>
    <x v="1"/>
    <n v="3"/>
    <n v="678"/>
    <x v="1"/>
    <x v="2"/>
    <x v="3"/>
    <x v="3"/>
    <x v="3"/>
    <x v="6"/>
    <s v="Low Sales"/>
  </r>
  <r>
    <n v="10699"/>
    <x v="49"/>
    <x v="1"/>
    <x v="0"/>
    <x v="2"/>
    <n v="5"/>
    <n v="200"/>
    <x v="1"/>
    <x v="2"/>
    <x v="3"/>
    <x v="3"/>
    <x v="3"/>
    <x v="2"/>
    <s v="Low Sales"/>
  </r>
  <r>
    <n v="10700"/>
    <x v="50"/>
    <x v="1"/>
    <x v="1"/>
    <x v="3"/>
    <n v="13"/>
    <n v="693"/>
    <x v="1"/>
    <x v="2"/>
    <x v="3"/>
    <x v="3"/>
    <x v="3"/>
    <x v="24"/>
    <s v="High Sales"/>
  </r>
  <r>
    <n v="10701"/>
    <x v="50"/>
    <x v="1"/>
    <x v="1"/>
    <x v="4"/>
    <n v="10"/>
    <n v="281"/>
    <x v="1"/>
    <x v="2"/>
    <x v="3"/>
    <x v="3"/>
    <x v="3"/>
    <x v="25"/>
    <s v="Low Sales"/>
  </r>
  <r>
    <n v="10702"/>
    <x v="50"/>
    <x v="1"/>
    <x v="1"/>
    <x v="0"/>
    <n v="4"/>
    <n v="630"/>
    <x v="1"/>
    <x v="2"/>
    <x v="3"/>
    <x v="3"/>
    <x v="3"/>
    <x v="7"/>
    <s v="Low Sales"/>
  </r>
  <r>
    <n v="10703"/>
    <x v="50"/>
    <x v="1"/>
    <x v="1"/>
    <x v="1"/>
    <n v="3"/>
    <n v="678"/>
    <x v="1"/>
    <x v="0"/>
    <x v="3"/>
    <x v="3"/>
    <x v="3"/>
    <x v="6"/>
    <s v="Low Sales"/>
  </r>
  <r>
    <n v="10704"/>
    <x v="50"/>
    <x v="1"/>
    <x v="1"/>
    <x v="2"/>
    <n v="5"/>
    <n v="200"/>
    <x v="2"/>
    <x v="0"/>
    <x v="3"/>
    <x v="3"/>
    <x v="3"/>
    <x v="2"/>
    <s v="Low Sales"/>
  </r>
  <r>
    <n v="10705"/>
    <x v="51"/>
    <x v="1"/>
    <x v="2"/>
    <x v="3"/>
    <n v="13"/>
    <n v="724"/>
    <x v="2"/>
    <x v="0"/>
    <x v="3"/>
    <x v="3"/>
    <x v="3"/>
    <x v="26"/>
    <s v="High Sales"/>
  </r>
  <r>
    <n v="10706"/>
    <x v="51"/>
    <x v="1"/>
    <x v="2"/>
    <x v="4"/>
    <n v="10"/>
    <n v="302"/>
    <x v="2"/>
    <x v="0"/>
    <x v="3"/>
    <x v="3"/>
    <x v="3"/>
    <x v="27"/>
    <s v="Low Sales"/>
  </r>
  <r>
    <n v="10707"/>
    <x v="51"/>
    <x v="1"/>
    <x v="2"/>
    <x v="0"/>
    <n v="4"/>
    <n v="630"/>
    <x v="2"/>
    <x v="0"/>
    <x v="3"/>
    <x v="3"/>
    <x v="3"/>
    <x v="7"/>
    <s v="Low Sales"/>
  </r>
  <r>
    <n v="10708"/>
    <x v="51"/>
    <x v="1"/>
    <x v="2"/>
    <x v="1"/>
    <n v="3"/>
    <n v="678"/>
    <x v="2"/>
    <x v="0"/>
    <x v="3"/>
    <x v="3"/>
    <x v="3"/>
    <x v="6"/>
    <s v="Low Sales"/>
  </r>
  <r>
    <n v="10709"/>
    <x v="51"/>
    <x v="1"/>
    <x v="2"/>
    <x v="2"/>
    <n v="5"/>
    <n v="200"/>
    <x v="2"/>
    <x v="0"/>
    <x v="3"/>
    <x v="3"/>
    <x v="3"/>
    <x v="2"/>
    <s v="Low Sales"/>
  </r>
  <r>
    <n v="10710"/>
    <x v="52"/>
    <x v="1"/>
    <x v="3"/>
    <x v="3"/>
    <n v="13"/>
    <n v="754"/>
    <x v="2"/>
    <x v="0"/>
    <x v="3"/>
    <x v="3"/>
    <x v="3"/>
    <x v="28"/>
    <s v="High Sales"/>
  </r>
  <r>
    <n v="10711"/>
    <x v="52"/>
    <x v="1"/>
    <x v="3"/>
    <x v="4"/>
    <n v="10"/>
    <n v="281"/>
    <x v="2"/>
    <x v="0"/>
    <x v="3"/>
    <x v="3"/>
    <x v="3"/>
    <x v="25"/>
    <s v="Low Sales"/>
  </r>
  <r>
    <n v="10712"/>
    <x v="52"/>
    <x v="1"/>
    <x v="3"/>
    <x v="0"/>
    <n v="4"/>
    <n v="630"/>
    <x v="2"/>
    <x v="0"/>
    <x v="3"/>
    <x v="3"/>
    <x v="3"/>
    <x v="7"/>
    <s v="Low Sales"/>
  </r>
  <r>
    <n v="10713"/>
    <x v="52"/>
    <x v="1"/>
    <x v="3"/>
    <x v="1"/>
    <n v="3"/>
    <n v="678"/>
    <x v="2"/>
    <x v="0"/>
    <x v="3"/>
    <x v="3"/>
    <x v="3"/>
    <x v="6"/>
    <s v="Low Sal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2241EE-D464-4EA9-A3CB-93A26433FB9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A8:A9" firstHeaderRow="1" firstDataRow="1" firstDataCol="0"/>
  <pivotFields count="16">
    <pivotField showAll="0"/>
    <pivotField numFmtId="14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showAll="0"/>
    <pivotField showAll="0"/>
    <pivotField showAll="0">
      <items count="6">
        <item x="1"/>
        <item x="3"/>
        <item x="4"/>
        <item x="0"/>
        <item x="2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dataField="1" numFmtId="164" showAll="0">
      <items count="30">
        <item x="2"/>
        <item x="4"/>
        <item x="6"/>
        <item x="17"/>
        <item x="1"/>
        <item x="0"/>
        <item x="22"/>
        <item x="7"/>
        <item x="23"/>
        <item x="11"/>
        <item x="25"/>
        <item x="27"/>
        <item x="15"/>
        <item x="14"/>
        <item x="12"/>
        <item x="13"/>
        <item x="9"/>
        <item x="8"/>
        <item x="10"/>
        <item x="5"/>
        <item x="3"/>
        <item x="16"/>
        <item x="18"/>
        <item x="19"/>
        <item x="20"/>
        <item x="21"/>
        <item x="24"/>
        <item x="26"/>
        <item x="28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 of Revenue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026DD-A9F2-4E15-8901-7CEA6E1264D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A11:A12" firstHeaderRow="1" firstDataRow="1" firstDataCol="0"/>
  <pivotFields count="16">
    <pivotField showAll="0"/>
    <pivotField numFmtId="14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showAll="0"/>
    <pivotField showAll="0"/>
    <pivotField showAll="0">
      <items count="6">
        <item x="1"/>
        <item x="3"/>
        <item x="4"/>
        <item x="0"/>
        <item x="2"/>
        <item t="default"/>
      </items>
    </pivotField>
    <pivotField numFmtId="164" showAll="0"/>
    <pivotField dataField="1" showAll="0"/>
    <pivotField showAll="0"/>
    <pivotField showAll="0"/>
    <pivotField showAll="0"/>
    <pivotField showAll="0"/>
    <pivotField showAll="0"/>
    <pivotField numFmtId="164" showAll="0">
      <items count="30">
        <item x="2"/>
        <item x="4"/>
        <item x="6"/>
        <item x="17"/>
        <item x="1"/>
        <item x="0"/>
        <item x="22"/>
        <item x="7"/>
        <item x="23"/>
        <item x="11"/>
        <item x="25"/>
        <item x="27"/>
        <item x="15"/>
        <item x="14"/>
        <item x="12"/>
        <item x="13"/>
        <item x="9"/>
        <item x="8"/>
        <item x="10"/>
        <item x="5"/>
        <item x="3"/>
        <item x="16"/>
        <item x="18"/>
        <item x="19"/>
        <item x="20"/>
        <item x="21"/>
        <item x="24"/>
        <item x="26"/>
        <item x="28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 of Quantity" fld="6" baseField="0" baseItem="0" numFmtId="165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5D19D3-DFB8-4E78-998E-1D4D45DB1C69}" name="PivotTable2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7" rowHeaderCaption="Manager">
  <location ref="M32:R38" firstHeaderRow="1" firstDataRow="2" firstDataCol="1"/>
  <pivotFields count="16">
    <pivotField compact="0" outline="0" showAll="0"/>
    <pivotField compact="0" numFmtId="14" outline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6">
        <item x="1"/>
        <item x="3"/>
        <item x="4"/>
        <item x="0"/>
        <item x="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4"/>
            </reference>
          </references>
        </pivotArea>
      </autoSortScope>
    </pivotField>
    <pivotField compact="0" numFmtId="164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compact="0" outline="0" showAll="0">
      <items count="6">
        <item x="2"/>
        <item x="1"/>
        <item x="4"/>
        <item x="0"/>
        <item x="3"/>
        <item t="default"/>
      </items>
    </pivotField>
    <pivotField compact="0" outline="0" showAll="0">
      <items count="6">
        <item x="3"/>
        <item x="2"/>
        <item x="0"/>
        <item x="1"/>
        <item x="4"/>
        <item t="default"/>
      </items>
    </pivotField>
    <pivotField axis="axisCol" compact="0" outline="0" showAll="0">
      <items count="6">
        <item x="4"/>
        <item x="3"/>
        <item x="2"/>
        <item x="1"/>
        <item x="0"/>
        <item t="default"/>
      </items>
    </pivotField>
    <pivotField dataField="1" compact="0" numFmtId="164" outline="0" showAll="0">
      <items count="30">
        <item x="2"/>
        <item x="4"/>
        <item x="6"/>
        <item x="17"/>
        <item x="1"/>
        <item x="0"/>
        <item x="22"/>
        <item x="7"/>
        <item x="23"/>
        <item x="11"/>
        <item x="25"/>
        <item x="27"/>
        <item x="15"/>
        <item x="14"/>
        <item x="12"/>
        <item x="13"/>
        <item x="9"/>
        <item x="8"/>
        <item x="10"/>
        <item x="5"/>
        <item x="3"/>
        <item x="16"/>
        <item x="18"/>
        <item x="19"/>
        <item x="20"/>
        <item x="21"/>
        <item x="24"/>
        <item x="26"/>
        <item x="28"/>
        <item t="default"/>
      </items>
    </pivotField>
    <pivotField compact="0" outline="0" showAll="0"/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 v="1"/>
    </i>
    <i>
      <x v="3"/>
    </i>
    <i>
      <x v="2"/>
    </i>
    <i>
      <x/>
    </i>
    <i>
      <x v="4"/>
    </i>
  </rowItems>
  <colFields count="1">
    <field x="11"/>
  </colFields>
  <colItems count="5">
    <i>
      <x/>
    </i>
    <i>
      <x v="1"/>
    </i>
    <i>
      <x v="2"/>
    </i>
    <i>
      <x v="3"/>
    </i>
    <i>
      <x v="4"/>
    </i>
  </colItems>
  <dataFields count="1">
    <dataField name="Sum of Revenue" fld="12" baseField="0" baseItem="0" numFmtId="164"/>
  </dataFields>
  <chartFormats count="2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6" format="2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6" format="2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6" format="2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6" format="2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6" format="2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3404FB-B975-4D1C-B0BC-F72E2008B4D9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rowHeaderCaption="Manager">
  <location ref="I8:J13" firstHeaderRow="1" firstDataRow="1" firstDataCol="1"/>
  <pivotFields count="16">
    <pivotField showAll="0"/>
    <pivotField numFmtId="14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showAll="0"/>
    <pivotField showAll="0"/>
    <pivotField showAll="0">
      <items count="6">
        <item x="1"/>
        <item x="3"/>
        <item x="4"/>
        <item x="0"/>
        <item x="2"/>
        <item t="default"/>
      </items>
    </pivotField>
    <pivotField numFmtId="164" showAll="0"/>
    <pivotField showAll="0"/>
    <pivotField showAll="0"/>
    <pivotField showAll="0"/>
    <pivotField axis="axisRow" showAll="0" sortType="descending">
      <items count="6">
        <item x="2"/>
        <item x="1"/>
        <item x="4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3"/>
        <item x="2"/>
        <item x="0"/>
        <item x="1"/>
        <item x="4"/>
        <item t="default"/>
      </items>
    </pivotField>
    <pivotField showAll="0"/>
    <pivotField dataField="1" numFmtId="164" showAll="0">
      <items count="30">
        <item x="2"/>
        <item x="4"/>
        <item x="6"/>
        <item x="17"/>
        <item x="1"/>
        <item x="0"/>
        <item x="22"/>
        <item x="7"/>
        <item x="23"/>
        <item x="11"/>
        <item x="25"/>
        <item x="27"/>
        <item x="15"/>
        <item x="14"/>
        <item x="12"/>
        <item x="13"/>
        <item x="9"/>
        <item x="8"/>
        <item x="10"/>
        <item x="5"/>
        <item x="3"/>
        <item x="16"/>
        <item x="18"/>
        <item x="19"/>
        <item x="20"/>
        <item x="21"/>
        <item x="24"/>
        <item x="26"/>
        <item x="28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5">
    <i>
      <x/>
    </i>
    <i>
      <x v="3"/>
    </i>
    <i>
      <x v="1"/>
    </i>
    <i>
      <x v="4"/>
    </i>
    <i>
      <x v="2"/>
    </i>
  </rowItems>
  <colItems count="1">
    <i/>
  </colItems>
  <dataFields count="1">
    <dataField name="Sum of Revenue" fld="12" baseField="0" baseItem="0" numFmtId="164"/>
  </dataFields>
  <formats count="2">
    <format dxfId="8">
      <pivotArea collapsedLevelsAreSubtotals="1" fieldPosition="0">
        <references count="1">
          <reference field="9" count="1">
            <x v="0"/>
          </reference>
        </references>
      </pivotArea>
    </format>
    <format dxfId="7">
      <pivotArea dataOnly="0" labelOnly="1" fieldPosition="0">
        <references count="1">
          <reference field="9" count="1">
            <x v="0"/>
          </reference>
        </references>
      </pivotArea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A31E41-070B-4DDA-9069-DE0268D7E0CF}" name="PivotTable19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2" rowHeaderCaption="Manager">
  <location ref="A32:B85" firstHeaderRow="1" firstDataRow="1" firstDataCol="1"/>
  <pivotFields count="16">
    <pivotField compact="0" outline="0" showAll="0"/>
    <pivotField compact="0" numFmtId="14" outline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compact="0" outline="0" showAll="0"/>
    <pivotField compact="0" outline="0" showAll="0"/>
    <pivotField compact="0" outline="0" showAll="0">
      <items count="6">
        <item x="1"/>
        <item x="3"/>
        <item x="4"/>
        <item x="0"/>
        <item x="2"/>
        <item t="default"/>
      </items>
    </pivotField>
    <pivotField compact="0" numFmtId="164" outline="0" showAll="0"/>
    <pivotField dataField="1"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compact="0" outline="0" showAll="0">
      <items count="6">
        <item x="2"/>
        <item x="1"/>
        <item x="4"/>
        <item x="0"/>
        <item x="3"/>
        <item t="default"/>
      </items>
    </pivotField>
    <pivotField compact="0" outline="0" showAll="0">
      <items count="6">
        <item x="3"/>
        <item x="2"/>
        <item x="0"/>
        <item x="1"/>
        <item x="4"/>
        <item t="default"/>
      </items>
    </pivotField>
    <pivotField compact="0" outline="0" showAll="0"/>
    <pivotField compact="0" numFmtId="164" outline="0" showAll="0">
      <items count="30">
        <item x="2"/>
        <item x="4"/>
        <item x="6"/>
        <item x="17"/>
        <item x="1"/>
        <item x="0"/>
        <item x="22"/>
        <item x="7"/>
        <item x="23"/>
        <item x="11"/>
        <item x="25"/>
        <item x="27"/>
        <item x="15"/>
        <item x="14"/>
        <item x="12"/>
        <item x="13"/>
        <item x="9"/>
        <item x="8"/>
        <item x="10"/>
        <item x="5"/>
        <item x="3"/>
        <item x="16"/>
        <item x="18"/>
        <item x="19"/>
        <item x="20"/>
        <item x="21"/>
        <item x="24"/>
        <item x="26"/>
        <item x="28"/>
        <item t="default"/>
      </items>
    </pivotField>
    <pivotField compact="0" outline="0" showAll="0"/>
    <pivotField axis="axisRow"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53"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</rowItems>
  <colItems count="1">
    <i/>
  </colItems>
  <dataFields count="1">
    <dataField name="Sum of Quantity" fld="6" baseField="0" baseItem="0"/>
  </dataField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F6C1E8-8BC9-4DB5-96FE-97FFFB9BAFCC}" name="PivotTable2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7" rowHeaderCaption="Manager">
  <location ref="F32:K38" firstHeaderRow="1" firstDataRow="2" firstDataCol="1"/>
  <pivotFields count="16">
    <pivotField compact="0" outline="0" showAll="0"/>
    <pivotField compact="0" numFmtId="14" outline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compact="0" outline="0" showAll="0"/>
    <pivotField compact="0" outline="0" showAll="0"/>
    <pivotField compact="0" outline="0" showAll="0">
      <items count="6">
        <item x="1"/>
        <item x="3"/>
        <item x="4"/>
        <item x="0"/>
        <item x="2"/>
        <item t="default"/>
      </items>
    </pivotField>
    <pivotField compact="0" numFmtId="164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axis="axisRow" compact="0" outline="0" showAll="0">
      <items count="6">
        <item x="2"/>
        <item x="1"/>
        <item x="4"/>
        <item x="0"/>
        <item x="3"/>
        <item t="default"/>
      </items>
    </pivotField>
    <pivotField axis="axisCol" compact="0" outline="0" showAll="0">
      <items count="6">
        <item x="3"/>
        <item x="2"/>
        <item x="0"/>
        <item x="1"/>
        <item x="4"/>
        <item t="default"/>
      </items>
    </pivotField>
    <pivotField compact="0" outline="0" showAll="0"/>
    <pivotField dataField="1" compact="0" numFmtId="164" outline="0" showAll="0">
      <items count="30">
        <item x="2"/>
        <item x="4"/>
        <item x="6"/>
        <item x="17"/>
        <item x="1"/>
        <item x="0"/>
        <item x="22"/>
        <item x="7"/>
        <item x="23"/>
        <item x="11"/>
        <item x="25"/>
        <item x="27"/>
        <item x="15"/>
        <item x="14"/>
        <item x="12"/>
        <item x="13"/>
        <item x="9"/>
        <item x="8"/>
        <item x="10"/>
        <item x="5"/>
        <item x="3"/>
        <item x="16"/>
        <item x="18"/>
        <item x="19"/>
        <item x="20"/>
        <item x="21"/>
        <item x="24"/>
        <item x="26"/>
        <item x="28"/>
        <item t="default"/>
      </items>
    </pivotField>
    <pivotField compact="0" outline="0" showAll="0"/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>
      <x v="4"/>
    </i>
  </rowItems>
  <colFields count="1">
    <field x="10"/>
  </colFields>
  <colItems count="5">
    <i>
      <x/>
    </i>
    <i>
      <x v="1"/>
    </i>
    <i>
      <x v="2"/>
    </i>
    <i>
      <x v="3"/>
    </i>
    <i>
      <x v="4"/>
    </i>
  </colItems>
  <dataFields count="1">
    <dataField name="Sum of Revenue" fld="12" baseField="0" baseItem="0" numFmtId="164"/>
  </dataField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6" format="2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2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2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6" format="2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6" format="2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783FA8-940F-4B9A-B26B-4A939961142E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 rowHeaderCaption="City">
  <location ref="E8:F13" firstHeaderRow="1" firstDataRow="1" firstDataCol="1"/>
  <pivotFields count="16">
    <pivotField showAll="0"/>
    <pivotField numFmtId="14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showAll="0"/>
    <pivotField showAll="0"/>
    <pivotField showAll="0">
      <items count="6">
        <item x="1"/>
        <item x="3"/>
        <item x="4"/>
        <item x="0"/>
        <item x="2"/>
        <item t="default"/>
      </items>
    </pivotField>
    <pivotField numFmtId="164" showAll="0"/>
    <pivotField showAll="0"/>
    <pivotField showAll="0"/>
    <pivotField showAll="0"/>
    <pivotField showAll="0"/>
    <pivotField axis="axisRow" showAll="0" sortType="descending">
      <items count="6">
        <item x="3"/>
        <item x="2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>
      <items count="30">
        <item x="2"/>
        <item x="4"/>
        <item x="6"/>
        <item x="17"/>
        <item x="1"/>
        <item x="0"/>
        <item x="22"/>
        <item x="7"/>
        <item x="23"/>
        <item x="11"/>
        <item x="25"/>
        <item x="27"/>
        <item x="15"/>
        <item x="14"/>
        <item x="12"/>
        <item x="13"/>
        <item x="9"/>
        <item x="8"/>
        <item x="10"/>
        <item x="5"/>
        <item x="3"/>
        <item x="16"/>
        <item x="18"/>
        <item x="19"/>
        <item x="20"/>
        <item x="21"/>
        <item x="24"/>
        <item x="26"/>
        <item x="28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5">
    <i>
      <x v="1"/>
    </i>
    <i>
      <x v="2"/>
    </i>
    <i>
      <x v="3"/>
    </i>
    <i>
      <x/>
    </i>
    <i>
      <x v="4"/>
    </i>
  </rowItems>
  <colItems count="1">
    <i/>
  </colItems>
  <dataFields count="1">
    <dataField name="Sum of Revenue" fld="12" baseField="0" baseItem="0" numFmtId="164"/>
  </dataFields>
  <formats count="2">
    <format dxfId="10">
      <pivotArea collapsedLevelsAreSubtotals="1" fieldPosition="0">
        <references count="1">
          <reference field="10" count="1">
            <x v="1"/>
          </reference>
        </references>
      </pivotArea>
    </format>
    <format dxfId="9">
      <pivotArea dataOnly="0" labelOnly="1" fieldPosition="0">
        <references count="1">
          <reference field="10" count="1">
            <x v="1"/>
          </reference>
        </references>
      </pivotArea>
    </format>
  </format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E842D0-4CF7-409E-8BD2-408716C6328C}" name="PivotTable1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7" rowHeaderCaption="Manager">
  <location ref="M8:N13" firstHeaderRow="1" firstDataRow="1" firstDataCol="1"/>
  <pivotFields count="16">
    <pivotField compact="0" outline="0" showAll="0"/>
    <pivotField compact="0" numFmtId="14" outline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6">
        <item x="1"/>
        <item x="3"/>
        <item x="4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2"/>
        <item x="1"/>
        <item x="4"/>
        <item x="0"/>
        <item x="3"/>
        <item t="default"/>
      </items>
    </pivotField>
    <pivotField compact="0" outline="0" showAll="0">
      <items count="6">
        <item x="3"/>
        <item x="2"/>
        <item x="0"/>
        <item x="1"/>
        <item x="4"/>
        <item t="default"/>
      </items>
    </pivotField>
    <pivotField compact="0" outline="0" showAll="0"/>
    <pivotField dataField="1" compact="0" numFmtId="164" outline="0" showAll="0">
      <items count="30">
        <item x="2"/>
        <item x="4"/>
        <item x="6"/>
        <item x="17"/>
        <item x="1"/>
        <item x="0"/>
        <item x="22"/>
        <item x="7"/>
        <item x="23"/>
        <item x="11"/>
        <item x="25"/>
        <item x="27"/>
        <item x="15"/>
        <item x="14"/>
        <item x="12"/>
        <item x="13"/>
        <item x="9"/>
        <item x="8"/>
        <item x="10"/>
        <item x="5"/>
        <item x="3"/>
        <item x="16"/>
        <item x="18"/>
        <item x="19"/>
        <item x="20"/>
        <item x="21"/>
        <item x="24"/>
        <item x="26"/>
        <item x="28"/>
        <item t="default"/>
      </items>
    </pivotField>
    <pivotField compact="0" outline="0" showAll="0"/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 v="1"/>
    </i>
    <i>
      <x v="3"/>
    </i>
    <i>
      <x v="2"/>
    </i>
    <i>
      <x/>
    </i>
    <i>
      <x v="4"/>
    </i>
  </rowItems>
  <colItems count="1">
    <i/>
  </colItems>
  <dataFields count="1">
    <dataField name="Sum of Revenue" fld="12" baseField="0" baseItem="0" numFmtId="164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CC21DB-E6DB-417B-AA87-EFCB6E5DCD02}" name="PivotTable1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7" rowHeaderCaption="Manager">
  <location ref="F21:G24" firstHeaderRow="1" firstDataRow="1" firstDataCol="1"/>
  <pivotFields count="16">
    <pivotField dataField="1" compact="0" outline="0" showAll="0"/>
    <pivotField compact="0" numFmtId="14" outline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compact="0" outline="0" showAll="0"/>
    <pivotField compact="0" outline="0" showAll="0"/>
    <pivotField compact="0" outline="0" showAll="0">
      <items count="6">
        <item x="1"/>
        <item x="3"/>
        <item x="4"/>
        <item x="0"/>
        <item x="2"/>
        <item t="default"/>
      </items>
    </pivotField>
    <pivotField compact="0" numFmtId="164" outline="0" showAll="0"/>
    <pivotField compact="0" outline="0" showAll="0"/>
    <pivotField compact="0" outline="0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6">
        <item x="2"/>
        <item x="1"/>
        <item x="4"/>
        <item x="0"/>
        <item x="3"/>
        <item t="default"/>
      </items>
    </pivotField>
    <pivotField compact="0" outline="0" showAll="0">
      <items count="6">
        <item x="3"/>
        <item x="2"/>
        <item x="0"/>
        <item x="1"/>
        <item x="4"/>
        <item t="default"/>
      </items>
    </pivotField>
    <pivotField compact="0" outline="0" showAll="0"/>
    <pivotField compact="0" numFmtId="164" outline="0" showAll="0">
      <items count="30">
        <item x="2"/>
        <item x="4"/>
        <item x="6"/>
        <item x="17"/>
        <item x="1"/>
        <item x="0"/>
        <item x="22"/>
        <item x="7"/>
        <item x="23"/>
        <item x="11"/>
        <item x="25"/>
        <item x="27"/>
        <item x="15"/>
        <item x="14"/>
        <item x="12"/>
        <item x="13"/>
        <item x="9"/>
        <item x="8"/>
        <item x="10"/>
        <item x="5"/>
        <item x="3"/>
        <item x="16"/>
        <item x="18"/>
        <item x="19"/>
        <item x="20"/>
        <item x="21"/>
        <item x="24"/>
        <item x="26"/>
        <item x="28"/>
        <item t="default"/>
      </items>
    </pivotField>
    <pivotField compact="0" outline="0" showAll="0"/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3">
    <i>
      <x v="1"/>
    </i>
    <i>
      <x/>
    </i>
    <i>
      <x v="2"/>
    </i>
  </rowItems>
  <colItems count="1">
    <i/>
  </colItems>
  <dataFields count="1">
    <dataField name="Count of Order ID" fld="0" subtotal="count" baseField="7" baseItem="0"/>
  </dataFields>
  <chartFormats count="8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F73250-7A71-4B9D-9A18-981301519BA6}" name="PivotTable20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 rowHeaderCaption="Manager">
  <location ref="J21:Q24" firstHeaderRow="1" firstDataRow="2" firstDataCol="1"/>
  <pivotFields count="16">
    <pivotField compact="0" outline="0" showAll="0"/>
    <pivotField compact="0" numFmtId="14" outline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Row" compact="0" outline="0" showAll="0" sortType="ascending">
      <items count="3">
        <item x="0"/>
        <item x="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6"/>
            </reference>
          </references>
        </pivotArea>
      </autoSortScope>
    </pivotField>
    <pivotField axis="axisCol" compact="0" outline="0" showAll="0">
      <items count="8">
        <item x="6"/>
        <item x="0"/>
        <item x="1"/>
        <item x="2"/>
        <item x="3"/>
        <item x="4"/>
        <item x="5"/>
        <item t="default"/>
      </items>
    </pivotField>
    <pivotField compact="0" outline="0" showAll="0">
      <items count="6">
        <item x="1"/>
        <item x="3"/>
        <item x="4"/>
        <item x="0"/>
        <item x="2"/>
        <item t="default"/>
      </items>
    </pivotField>
    <pivotField compact="0" numFmtId="164" outline="0" showAll="0"/>
    <pivotField dataField="1"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>
      <items count="6">
        <item x="2"/>
        <item x="1"/>
        <item x="4"/>
        <item x="0"/>
        <item x="3"/>
        <item t="default"/>
      </items>
    </pivotField>
    <pivotField compact="0" outline="0" showAll="0">
      <items count="6">
        <item x="3"/>
        <item x="2"/>
        <item x="0"/>
        <item x="1"/>
        <item x="4"/>
        <item t="default"/>
      </items>
    </pivotField>
    <pivotField compact="0" outline="0" showAll="0"/>
    <pivotField compact="0" numFmtId="164" outline="0" showAll="0">
      <items count="30">
        <item x="2"/>
        <item x="4"/>
        <item x="6"/>
        <item x="17"/>
        <item x="1"/>
        <item x="0"/>
        <item x="22"/>
        <item x="7"/>
        <item x="23"/>
        <item x="11"/>
        <item x="25"/>
        <item x="27"/>
        <item x="15"/>
        <item x="14"/>
        <item x="12"/>
        <item x="13"/>
        <item x="9"/>
        <item x="8"/>
        <item x="10"/>
        <item x="5"/>
        <item x="3"/>
        <item x="16"/>
        <item x="18"/>
        <item x="19"/>
        <item x="20"/>
        <item x="21"/>
        <item x="24"/>
        <item x="26"/>
        <item x="28"/>
        <item t="default"/>
      </items>
    </pivotField>
    <pivotField compact="0" outline="0" showAll="0"/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2">
    <i>
      <x/>
    </i>
    <i>
      <x v="1"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Sum of Quantity" fld="6" baseField="0" baseItem="0"/>
  </dataFields>
  <chartFormats count="2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66273E-7628-45F4-A986-7AA3B19E738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C11:C12" firstHeaderRow="1" firstDataRow="1" firstDataCol="0"/>
  <pivotFields count="16">
    <pivotField dataField="1" showAll="0"/>
    <pivotField numFmtId="14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showAll="0"/>
    <pivotField showAll="0"/>
    <pivotField showAll="0">
      <items count="6">
        <item x="1"/>
        <item x="3"/>
        <item x="4"/>
        <item x="0"/>
        <item x="2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numFmtId="164" showAll="0">
      <items count="30">
        <item x="2"/>
        <item x="4"/>
        <item x="6"/>
        <item x="17"/>
        <item x="1"/>
        <item x="0"/>
        <item x="22"/>
        <item x="7"/>
        <item x="23"/>
        <item x="11"/>
        <item x="25"/>
        <item x="27"/>
        <item x="15"/>
        <item x="14"/>
        <item x="12"/>
        <item x="13"/>
        <item x="9"/>
        <item x="8"/>
        <item x="10"/>
        <item x="5"/>
        <item x="3"/>
        <item x="16"/>
        <item x="18"/>
        <item x="19"/>
        <item x="20"/>
        <item x="21"/>
        <item x="24"/>
        <item x="26"/>
        <item x="28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Count of Order ID" fld="0" subtotal="count" baseField="0" baseItem="0"/>
  </dataFields>
  <formats count="3">
    <format dxfId="13">
      <pivotArea type="all" dataOnly="0" outline="0" fieldPosition="0"/>
    </format>
    <format dxfId="12">
      <pivotArea dataOnly="0" labelOnly="1" outline="0" axis="axisValues" fieldPosition="0"/>
    </format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842883-DE3D-48D6-88C2-58792BEBED8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C8:C9" firstHeaderRow="1" firstDataRow="1" firstDataCol="0"/>
  <pivotFields count="16">
    <pivotField showAll="0"/>
    <pivotField numFmtId="14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showAll="0"/>
    <pivotField showAll="0"/>
    <pivotField showAll="0">
      <items count="6">
        <item x="1"/>
        <item x="3"/>
        <item x="4"/>
        <item x="0"/>
        <item x="2"/>
        <item t="default"/>
      </items>
    </pivotField>
    <pivotField dataField="1" numFmtId="164" showAll="0"/>
    <pivotField showAll="0"/>
    <pivotField showAll="0"/>
    <pivotField showAll="0"/>
    <pivotField showAll="0"/>
    <pivotField showAll="0"/>
    <pivotField showAll="0"/>
    <pivotField numFmtId="164" showAll="0">
      <items count="30">
        <item x="2"/>
        <item x="4"/>
        <item x="6"/>
        <item x="17"/>
        <item x="1"/>
        <item x="0"/>
        <item x="22"/>
        <item x="7"/>
        <item x="23"/>
        <item x="11"/>
        <item x="25"/>
        <item x="27"/>
        <item x="15"/>
        <item x="14"/>
        <item x="12"/>
        <item x="13"/>
        <item x="9"/>
        <item x="8"/>
        <item x="10"/>
        <item x="5"/>
        <item x="3"/>
        <item x="16"/>
        <item x="18"/>
        <item x="19"/>
        <item x="20"/>
        <item x="21"/>
        <item x="24"/>
        <item x="26"/>
        <item x="28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Average of Price" fld="5" subtotal="average" baseField="0" baseItem="0" numFmtId="44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84D975-CF10-445E-B897-206F31E905E0}" name="PivotTable1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7" rowHeaderCaption="Manager">
  <location ref="A21:B24" firstHeaderRow="1" firstDataRow="1" firstDataCol="1"/>
  <pivotFields count="16">
    <pivotField dataField="1" compact="0" outline="0" showAll="0"/>
    <pivotField compact="0" numFmtId="14" outline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compact="0" outline="0" showAll="0"/>
    <pivotField compact="0" outline="0" showAll="0"/>
    <pivotField compact="0" outline="0" showAll="0">
      <items count="6">
        <item x="1"/>
        <item x="3"/>
        <item x="4"/>
        <item x="0"/>
        <item x="2"/>
        <item t="default"/>
      </items>
    </pivotField>
    <pivotField compact="0" numFmtId="164" outline="0" showAll="0"/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>
      <items count="6">
        <item x="2"/>
        <item x="1"/>
        <item x="4"/>
        <item x="0"/>
        <item x="3"/>
        <item t="default"/>
      </items>
    </pivotField>
    <pivotField compact="0" outline="0" showAll="0">
      <items count="6">
        <item x="3"/>
        <item x="2"/>
        <item x="0"/>
        <item x="1"/>
        <item x="4"/>
        <item t="default"/>
      </items>
    </pivotField>
    <pivotField compact="0" outline="0" showAll="0"/>
    <pivotField compact="0" numFmtId="164" outline="0" showAll="0">
      <items count="30">
        <item x="2"/>
        <item x="4"/>
        <item x="6"/>
        <item x="17"/>
        <item x="1"/>
        <item x="0"/>
        <item x="22"/>
        <item x="7"/>
        <item x="23"/>
        <item x="11"/>
        <item x="25"/>
        <item x="27"/>
        <item x="15"/>
        <item x="14"/>
        <item x="12"/>
        <item x="13"/>
        <item x="9"/>
        <item x="8"/>
        <item x="10"/>
        <item x="5"/>
        <item x="3"/>
        <item x="16"/>
        <item x="18"/>
        <item x="19"/>
        <item x="20"/>
        <item x="21"/>
        <item x="24"/>
        <item x="26"/>
        <item x="28"/>
        <item t="default"/>
      </items>
    </pivotField>
    <pivotField compact="0" outline="0" showAll="0"/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3">
    <i>
      <x v="2"/>
    </i>
    <i>
      <x v="1"/>
    </i>
    <i>
      <x/>
    </i>
  </rowItems>
  <colItems count="1">
    <i/>
  </colItems>
  <dataFields count="1">
    <dataField name="Count of Order ID" fld="0" subtotal="count" baseField="7" baseItem="0"/>
  </dataFields>
  <chartFormats count="8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FF7184-DB4D-4278-95B6-779ACF3E4B19}" name="Table1" displayName="Table1" ref="A1:N259" totalsRowCount="1" headerRowDxfId="33">
  <autoFilter ref="A1:N258" xr:uid="{ADFF7184-DB4D-4278-95B6-779ACF3E4B19}"/>
  <tableColumns count="14">
    <tableColumn id="1" xr3:uid="{5A6BFE13-B736-424A-B904-BCA4405E6849}" name="Order ID" dataDxfId="32" totalsRowDxfId="31"/>
    <tableColumn id="2" xr3:uid="{A10A2316-4A3F-45B7-90D7-B12473C9D709}" name="Date" dataDxfId="30" totalsRowDxfId="29"/>
    <tableColumn id="13" xr3:uid="{1F1AF7AF-0305-4881-B40C-E324A90E8B08}" name="Month" dataDxfId="28" totalsRowDxfId="27">
      <calculatedColumnFormula>TEXT(Table1[[#This Row],[Date]],"mmmm")</calculatedColumnFormula>
    </tableColumn>
    <tableColumn id="14" xr3:uid="{C831080D-9DDD-41D0-967D-9C5D6DA5CF98}" name="Day" dataDxfId="26" totalsRowDxfId="25">
      <calculatedColumnFormula>TEXT(Table1[[#This Row],[Date]],"dddd")</calculatedColumnFormula>
    </tableColumn>
    <tableColumn id="3" xr3:uid="{534826D8-334C-4EDA-ADEE-862DE1B87A83}" name="Product"/>
    <tableColumn id="4" xr3:uid="{C63773DB-88B8-4A39-9F68-730EDCE0A929}" name="Price" dataDxfId="24" totalsRowDxfId="23" dataCellStyle="Currency" totalsRowCellStyle="Currency"/>
    <tableColumn id="5" xr3:uid="{F41B348D-BD6A-468C-BA54-D6475D95A174}" name="Quantity" dataDxfId="22" totalsRowDxfId="21"/>
    <tableColumn id="6" xr3:uid="{5875455F-D39D-41D1-AD06-EA0E5DF3CA4C}" name="Purchase Type" dataDxfId="20" totalsRowDxfId="19"/>
    <tableColumn id="7" xr3:uid="{43B08013-1260-44CB-906C-CBEA84718F66}" name="Payment Method" dataDxfId="18" totalsRowDxfId="17"/>
    <tableColumn id="8" xr3:uid="{565176FE-B5FB-4296-A3CA-E29AB730550A}" name="Manager"/>
    <tableColumn id="9" xr3:uid="{C94C373F-99E4-4B10-BB58-988D87AD99C2}" name="City"/>
    <tableColumn id="10" xr3:uid="{10B865B8-E962-4BAF-B1C5-DC02E71AE37D}" name="Country">
      <calculatedColumnFormula array="1">_xlfn.IFS(Table1[[#This Row],[City]]="Berlin","Germany",Table1[[#This Row],[City]]="Lisbon","Portugal",Table1[[#This Row],[City]]="London","United Kingdom",Table1[[#This Row],[City]]="Madrid","Spain",Table1[[#This Row],[City]]="Paris","France")</calculatedColumnFormula>
    </tableColumn>
    <tableColumn id="11" xr3:uid="{F869A1EE-7A16-45AC-88BE-A29F7DF027E9}" name="Revenue">
      <calculatedColumnFormula>Table1[[#This Row],[Price]]*Table1[[#This Row],[Quantity]]</calculatedColumnFormula>
    </tableColumn>
    <tableColumn id="12" xr3:uid="{6D75513B-55F2-4D2F-97BF-94BAF45B3D74}" name="Sales Status" dataDxfId="16" totalsRowDxfId="15">
      <calculatedColumnFormula array="1">_xlfn.IFS(Table1[[#This Row],[Revenue]]&lt;=3267,"Low Sales",Table1[[#This Row],[Revenue]]&lt;=6534,"Fair Sales",Table1[[#This Row],[Revenue]]&gt;6534,"High Sales")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63"/>
  <sheetViews>
    <sheetView tabSelected="1" workbookViewId="0">
      <selection activeCell="K8" sqref="K8"/>
    </sheetView>
  </sheetViews>
  <sheetFormatPr defaultColWidth="8.28515625" defaultRowHeight="15" x14ac:dyDescent="0.25"/>
  <cols>
    <col min="2" max="2" width="10.42578125" bestFit="1" customWidth="1"/>
    <col min="3" max="3" width="19.140625" bestFit="1" customWidth="1"/>
    <col min="4" max="4" width="8" bestFit="1" customWidth="1"/>
    <col min="5" max="5" width="9.7109375" bestFit="1" customWidth="1"/>
    <col min="6" max="6" width="15.28515625" bestFit="1" customWidth="1"/>
    <col min="7" max="7" width="18.42578125" bestFit="1" customWidth="1"/>
    <col min="8" max="8" width="15.42578125" bestFit="1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2" t="s">
        <v>38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3">
        <v>10452</v>
      </c>
      <c r="B2" s="4">
        <v>44872</v>
      </c>
      <c r="C2" t="s">
        <v>8</v>
      </c>
      <c r="D2" s="5">
        <v>4</v>
      </c>
      <c r="E2" s="6">
        <v>573.065902578796</v>
      </c>
      <c r="F2" s="3" t="s">
        <v>9</v>
      </c>
      <c r="G2" s="3" t="s">
        <v>10</v>
      </c>
      <c r="H2" t="s">
        <v>11</v>
      </c>
      <c r="I2" t="s">
        <v>12</v>
      </c>
    </row>
    <row r="3" spans="1:9" x14ac:dyDescent="0.25">
      <c r="A3" s="3">
        <v>10453</v>
      </c>
      <c r="B3" s="4">
        <v>44872</v>
      </c>
      <c r="C3" t="s">
        <v>13</v>
      </c>
      <c r="D3" s="5">
        <v>3</v>
      </c>
      <c r="E3" s="6">
        <v>745.76271186440704</v>
      </c>
      <c r="F3" s="3" t="s">
        <v>9</v>
      </c>
      <c r="G3" s="3" t="s">
        <v>10</v>
      </c>
      <c r="H3" t="s">
        <v>14</v>
      </c>
      <c r="I3" t="s">
        <v>15</v>
      </c>
    </row>
    <row r="4" spans="1:9" x14ac:dyDescent="0.25">
      <c r="A4" s="3">
        <v>10454</v>
      </c>
      <c r="B4" s="4">
        <v>44872</v>
      </c>
      <c r="C4" t="s">
        <v>16</v>
      </c>
      <c r="D4" s="5">
        <v>5</v>
      </c>
      <c r="E4" s="6">
        <v>200.40080160320599</v>
      </c>
      <c r="F4" s="3" t="s">
        <v>17</v>
      </c>
      <c r="G4" s="3" t="s">
        <v>10</v>
      </c>
      <c r="H4" t="s">
        <v>18</v>
      </c>
      <c r="I4" t="s">
        <v>19</v>
      </c>
    </row>
    <row r="5" spans="1:9" x14ac:dyDescent="0.25">
      <c r="A5" s="3">
        <v>10455</v>
      </c>
      <c r="B5" s="4">
        <v>44873</v>
      </c>
      <c r="C5" t="s">
        <v>20</v>
      </c>
      <c r="D5" s="5">
        <v>13</v>
      </c>
      <c r="E5" s="6">
        <v>569.66897613548895</v>
      </c>
      <c r="F5" s="3" t="s">
        <v>17</v>
      </c>
      <c r="G5" s="3" t="s">
        <v>21</v>
      </c>
      <c r="H5" t="s">
        <v>22</v>
      </c>
      <c r="I5" t="s">
        <v>23</v>
      </c>
    </row>
    <row r="6" spans="1:9" x14ac:dyDescent="0.25">
      <c r="A6" s="3">
        <v>10456</v>
      </c>
      <c r="B6" s="4">
        <v>44873</v>
      </c>
      <c r="C6" t="s">
        <v>24</v>
      </c>
      <c r="D6" s="5">
        <v>10</v>
      </c>
      <c r="E6" s="6">
        <v>201.00502512562801</v>
      </c>
      <c r="F6" s="3" t="s">
        <v>17</v>
      </c>
      <c r="G6" s="3" t="s">
        <v>21</v>
      </c>
      <c r="H6" t="s">
        <v>22</v>
      </c>
      <c r="I6" t="s">
        <v>23</v>
      </c>
    </row>
    <row r="7" spans="1:9" x14ac:dyDescent="0.25">
      <c r="A7" s="3">
        <v>10457</v>
      </c>
      <c r="B7" s="4">
        <v>44873</v>
      </c>
      <c r="C7" t="s">
        <v>8</v>
      </c>
      <c r="D7" s="5">
        <v>4</v>
      </c>
      <c r="E7" s="6">
        <v>573.065902578796</v>
      </c>
      <c r="F7" s="3" t="s">
        <v>17</v>
      </c>
      <c r="G7" s="3" t="s">
        <v>21</v>
      </c>
      <c r="H7" t="s">
        <v>25</v>
      </c>
      <c r="I7" t="s">
        <v>26</v>
      </c>
    </row>
    <row r="8" spans="1:9" x14ac:dyDescent="0.25">
      <c r="A8" s="3">
        <v>10457</v>
      </c>
      <c r="B8" s="4">
        <v>44873</v>
      </c>
      <c r="C8" t="s">
        <v>8</v>
      </c>
      <c r="D8" s="5">
        <v>4</v>
      </c>
      <c r="E8" s="6">
        <v>573.065902578796</v>
      </c>
      <c r="F8" s="3" t="s">
        <v>17</v>
      </c>
      <c r="G8" s="3" t="s">
        <v>21</v>
      </c>
      <c r="H8" t="s">
        <v>25</v>
      </c>
      <c r="I8" t="s">
        <v>26</v>
      </c>
    </row>
    <row r="9" spans="1:9" x14ac:dyDescent="0.25">
      <c r="A9" s="3">
        <v>10459</v>
      </c>
      <c r="B9" s="4">
        <v>44873</v>
      </c>
      <c r="C9" t="s">
        <v>16</v>
      </c>
      <c r="D9" s="5">
        <v>5</v>
      </c>
      <c r="E9" s="6">
        <v>200.40080160320599</v>
      </c>
      <c r="F9" s="3" t="s">
        <v>17</v>
      </c>
      <c r="G9" s="3" t="s">
        <v>21</v>
      </c>
      <c r="H9" t="s">
        <v>22</v>
      </c>
      <c r="I9" t="s">
        <v>23</v>
      </c>
    </row>
    <row r="10" spans="1:9" x14ac:dyDescent="0.25">
      <c r="A10" s="3">
        <v>10460</v>
      </c>
      <c r="B10" s="4">
        <v>44874</v>
      </c>
      <c r="C10" t="s">
        <v>20</v>
      </c>
      <c r="D10" s="5">
        <v>13</v>
      </c>
      <c r="E10" s="6">
        <v>554.27251732101604</v>
      </c>
      <c r="F10" s="3" t="s">
        <v>17</v>
      </c>
      <c r="G10" s="3" t="s">
        <v>21</v>
      </c>
      <c r="H10" t="s">
        <v>27</v>
      </c>
      <c r="I10" t="s">
        <v>26</v>
      </c>
    </row>
    <row r="11" spans="1:9" x14ac:dyDescent="0.25">
      <c r="A11" s="3">
        <v>10461</v>
      </c>
      <c r="B11" s="4">
        <v>44874</v>
      </c>
      <c r="C11" t="s">
        <v>24</v>
      </c>
      <c r="D11" s="5">
        <v>10</v>
      </c>
      <c r="E11" s="6">
        <v>201.00502512562801</v>
      </c>
      <c r="F11" s="3" t="s">
        <v>17</v>
      </c>
      <c r="G11" s="3" t="s">
        <v>21</v>
      </c>
      <c r="H11" t="s">
        <v>27</v>
      </c>
      <c r="I11" t="s">
        <v>26</v>
      </c>
    </row>
    <row r="12" spans="1:9" x14ac:dyDescent="0.25">
      <c r="A12" s="3">
        <v>10462</v>
      </c>
      <c r="B12" s="4">
        <v>44874</v>
      </c>
      <c r="C12" t="s">
        <v>8</v>
      </c>
      <c r="D12" s="5">
        <v>4</v>
      </c>
      <c r="E12" s="6">
        <v>573.065902578796</v>
      </c>
      <c r="F12" s="3" t="s">
        <v>17</v>
      </c>
      <c r="G12" s="3" t="s">
        <v>21</v>
      </c>
      <c r="H12" t="s">
        <v>28</v>
      </c>
      <c r="I12" t="s">
        <v>26</v>
      </c>
    </row>
    <row r="13" spans="1:9" x14ac:dyDescent="0.25">
      <c r="A13" s="3">
        <v>10463</v>
      </c>
      <c r="B13" s="4">
        <v>44874</v>
      </c>
      <c r="C13" t="s">
        <v>13</v>
      </c>
      <c r="D13" s="5">
        <v>3</v>
      </c>
      <c r="E13" s="6">
        <v>677.96610169491498</v>
      </c>
      <c r="F13" s="3" t="s">
        <v>17</v>
      </c>
      <c r="G13" s="3" t="s">
        <v>21</v>
      </c>
      <c r="H13" t="s">
        <v>28</v>
      </c>
      <c r="I13" t="s">
        <v>26</v>
      </c>
    </row>
    <row r="14" spans="1:9" x14ac:dyDescent="0.25">
      <c r="A14" s="3">
        <v>10464</v>
      </c>
      <c r="B14" s="4">
        <v>44874</v>
      </c>
      <c r="C14" t="s">
        <v>16</v>
      </c>
      <c r="D14" s="5">
        <v>5</v>
      </c>
      <c r="E14" s="6">
        <v>200.40080160320599</v>
      </c>
      <c r="F14" s="3" t="s">
        <v>17</v>
      </c>
      <c r="G14" s="3" t="s">
        <v>21</v>
      </c>
      <c r="H14" t="s">
        <v>29</v>
      </c>
      <c r="I14" t="s">
        <v>26</v>
      </c>
    </row>
    <row r="15" spans="1:9" x14ac:dyDescent="0.25">
      <c r="A15" s="3">
        <v>10465</v>
      </c>
      <c r="B15" s="4">
        <v>44875</v>
      </c>
      <c r="C15" t="s">
        <v>20</v>
      </c>
      <c r="D15" s="5">
        <v>13</v>
      </c>
      <c r="E15" s="6">
        <v>554.27251732101604</v>
      </c>
      <c r="F15" s="3" t="s">
        <v>17</v>
      </c>
      <c r="G15" s="3" t="s">
        <v>21</v>
      </c>
      <c r="H15" t="s">
        <v>30</v>
      </c>
      <c r="I15" t="s">
        <v>15</v>
      </c>
    </row>
    <row r="16" spans="1:9" x14ac:dyDescent="0.25">
      <c r="A16" s="3">
        <v>10466</v>
      </c>
      <c r="B16" s="4">
        <v>44875</v>
      </c>
      <c r="C16" t="s">
        <v>24</v>
      </c>
      <c r="D16" s="5">
        <v>10</v>
      </c>
      <c r="E16" s="6">
        <v>201.00502512562801</v>
      </c>
      <c r="F16" s="3" t="s">
        <v>17</v>
      </c>
      <c r="G16" s="3" t="s">
        <v>21</v>
      </c>
      <c r="H16" t="s">
        <v>30</v>
      </c>
      <c r="I16" t="s">
        <v>15</v>
      </c>
    </row>
    <row r="17" spans="1:9" x14ac:dyDescent="0.25">
      <c r="A17" s="3">
        <v>10467</v>
      </c>
      <c r="B17" s="4">
        <v>44875</v>
      </c>
      <c r="C17" t="s">
        <v>8</v>
      </c>
      <c r="D17" s="5">
        <v>4</v>
      </c>
      <c r="E17" s="6">
        <v>573.065902578796</v>
      </c>
      <c r="F17" s="3" t="s">
        <v>17</v>
      </c>
      <c r="G17" s="3" t="s">
        <v>21</v>
      </c>
      <c r="H17" t="s">
        <v>30</v>
      </c>
      <c r="I17" t="s">
        <v>15</v>
      </c>
    </row>
    <row r="18" spans="1:9" x14ac:dyDescent="0.25">
      <c r="A18" s="3">
        <v>10468</v>
      </c>
      <c r="B18" s="4">
        <v>44875</v>
      </c>
      <c r="C18" t="s">
        <v>13</v>
      </c>
      <c r="D18" s="5">
        <v>3</v>
      </c>
      <c r="E18" s="6">
        <v>677.96610169491498</v>
      </c>
      <c r="F18" s="3" t="s">
        <v>17</v>
      </c>
      <c r="G18" s="3" t="s">
        <v>21</v>
      </c>
      <c r="H18" t="s">
        <v>14</v>
      </c>
      <c r="I18" t="s">
        <v>15</v>
      </c>
    </row>
    <row r="19" spans="1:9" x14ac:dyDescent="0.25">
      <c r="A19" s="3">
        <v>10468</v>
      </c>
      <c r="B19" s="4">
        <v>44875</v>
      </c>
      <c r="C19" t="s">
        <v>13</v>
      </c>
      <c r="D19" s="5">
        <v>3</v>
      </c>
      <c r="E19" s="6">
        <v>677.96610169491498</v>
      </c>
      <c r="F19" s="3" t="s">
        <v>17</v>
      </c>
      <c r="G19" s="3" t="s">
        <v>21</v>
      </c>
      <c r="H19" t="s">
        <v>14</v>
      </c>
      <c r="I19" t="s">
        <v>15</v>
      </c>
    </row>
    <row r="20" spans="1:9" x14ac:dyDescent="0.25">
      <c r="A20" s="3">
        <v>10470</v>
      </c>
      <c r="B20" s="4">
        <v>44876</v>
      </c>
      <c r="C20" t="s">
        <v>20</v>
      </c>
      <c r="D20" s="5">
        <v>13</v>
      </c>
      <c r="E20" s="6">
        <v>554.27251732101604</v>
      </c>
      <c r="F20" s="3" t="s">
        <v>17</v>
      </c>
      <c r="G20" s="3" t="s">
        <v>21</v>
      </c>
      <c r="H20" t="s">
        <v>14</v>
      </c>
      <c r="I20" t="s">
        <v>15</v>
      </c>
    </row>
    <row r="21" spans="1:9" x14ac:dyDescent="0.25">
      <c r="A21" s="3">
        <v>10471</v>
      </c>
      <c r="B21" s="4">
        <v>44876</v>
      </c>
      <c r="C21" t="s">
        <v>24</v>
      </c>
      <c r="D21" s="5">
        <v>10</v>
      </c>
      <c r="E21" s="6">
        <v>201.00502512562801</v>
      </c>
      <c r="F21" s="3" t="s">
        <v>17</v>
      </c>
      <c r="G21" s="3" t="s">
        <v>21</v>
      </c>
      <c r="H21" t="s">
        <v>14</v>
      </c>
      <c r="I21" t="s">
        <v>15</v>
      </c>
    </row>
    <row r="22" spans="1:9" x14ac:dyDescent="0.25">
      <c r="A22" s="3">
        <v>10472</v>
      </c>
      <c r="B22" s="4">
        <v>44876</v>
      </c>
      <c r="C22" t="s">
        <v>8</v>
      </c>
      <c r="D22" s="5">
        <v>4</v>
      </c>
      <c r="E22" s="6">
        <v>630.37249283667597</v>
      </c>
      <c r="F22" s="3" t="s">
        <v>17</v>
      </c>
      <c r="G22" s="3" t="s">
        <v>21</v>
      </c>
      <c r="H22" t="s">
        <v>31</v>
      </c>
      <c r="I22" t="s">
        <v>15</v>
      </c>
    </row>
    <row r="23" spans="1:9" x14ac:dyDescent="0.25">
      <c r="A23" s="3">
        <v>10473</v>
      </c>
      <c r="B23" s="4">
        <v>44876</v>
      </c>
      <c r="C23" t="s">
        <v>13</v>
      </c>
      <c r="D23" s="5">
        <v>3</v>
      </c>
      <c r="E23" s="6">
        <v>677.96610169491498</v>
      </c>
      <c r="F23" s="3" t="s">
        <v>17</v>
      </c>
      <c r="G23" s="3" t="s">
        <v>21</v>
      </c>
      <c r="H23" t="s">
        <v>14</v>
      </c>
      <c r="I23" t="s">
        <v>15</v>
      </c>
    </row>
    <row r="24" spans="1:9" x14ac:dyDescent="0.25">
      <c r="A24" s="3">
        <v>10474</v>
      </c>
      <c r="B24" s="4">
        <v>44876</v>
      </c>
      <c r="C24" t="s">
        <v>16</v>
      </c>
      <c r="D24" s="5">
        <v>5</v>
      </c>
      <c r="E24" s="6">
        <v>200.40080160320599</v>
      </c>
      <c r="F24" s="3" t="s">
        <v>17</v>
      </c>
      <c r="G24" s="3" t="s">
        <v>21</v>
      </c>
      <c r="H24" t="s">
        <v>14</v>
      </c>
      <c r="I24" t="s">
        <v>15</v>
      </c>
    </row>
    <row r="25" spans="1:9" x14ac:dyDescent="0.25">
      <c r="A25" s="3">
        <v>10475</v>
      </c>
      <c r="B25" s="4">
        <v>44877</v>
      </c>
      <c r="C25" t="s">
        <v>20</v>
      </c>
      <c r="D25" s="5">
        <v>13</v>
      </c>
      <c r="E25" s="6">
        <v>523.47959969207102</v>
      </c>
      <c r="F25" s="3" t="s">
        <v>17</v>
      </c>
      <c r="G25" s="3" t="s">
        <v>21</v>
      </c>
      <c r="H25" t="s">
        <v>14</v>
      </c>
      <c r="I25" t="s">
        <v>15</v>
      </c>
    </row>
    <row r="26" spans="1:9" x14ac:dyDescent="0.25">
      <c r="A26" s="3">
        <v>10476</v>
      </c>
      <c r="B26" s="4">
        <v>44877</v>
      </c>
      <c r="C26" t="s">
        <v>24</v>
      </c>
      <c r="D26" s="5">
        <v>10</v>
      </c>
      <c r="E26" s="6">
        <v>201.00502512562801</v>
      </c>
      <c r="F26" s="3" t="s">
        <v>17</v>
      </c>
      <c r="G26" s="3" t="s">
        <v>21</v>
      </c>
      <c r="H26" t="s">
        <v>30</v>
      </c>
      <c r="I26" t="s">
        <v>15</v>
      </c>
    </row>
    <row r="27" spans="1:9" x14ac:dyDescent="0.25">
      <c r="A27" s="3">
        <v>10477</v>
      </c>
      <c r="B27" s="4">
        <v>44877</v>
      </c>
      <c r="C27" t="s">
        <v>8</v>
      </c>
      <c r="D27" s="5">
        <v>4</v>
      </c>
      <c r="E27" s="6">
        <v>630.37249283667597</v>
      </c>
      <c r="F27" s="3" t="s">
        <v>17</v>
      </c>
      <c r="G27" s="3" t="s">
        <v>21</v>
      </c>
      <c r="H27" t="s">
        <v>32</v>
      </c>
      <c r="I27" t="s">
        <v>15</v>
      </c>
    </row>
    <row r="28" spans="1:9" x14ac:dyDescent="0.25">
      <c r="A28" s="3">
        <v>10478</v>
      </c>
      <c r="B28" s="4">
        <v>44877</v>
      </c>
      <c r="C28" t="s">
        <v>13</v>
      </c>
      <c r="D28" s="5">
        <v>3</v>
      </c>
      <c r="E28" s="6">
        <v>677.96610169491498</v>
      </c>
      <c r="F28" s="3" t="s">
        <v>17</v>
      </c>
      <c r="G28" s="3" t="s">
        <v>21</v>
      </c>
      <c r="H28" t="s">
        <v>30</v>
      </c>
      <c r="I28" t="s">
        <v>15</v>
      </c>
    </row>
    <row r="29" spans="1:9" x14ac:dyDescent="0.25">
      <c r="A29" s="3">
        <v>10479</v>
      </c>
      <c r="B29" s="4">
        <v>44877</v>
      </c>
      <c r="C29" t="s">
        <v>16</v>
      </c>
      <c r="D29" s="5">
        <v>5</v>
      </c>
      <c r="E29" s="6">
        <v>200.40080160320599</v>
      </c>
      <c r="F29" s="3" t="s">
        <v>17</v>
      </c>
      <c r="G29" s="3" t="s">
        <v>21</v>
      </c>
      <c r="H29" t="s">
        <v>33</v>
      </c>
      <c r="I29" t="s">
        <v>15</v>
      </c>
    </row>
    <row r="30" spans="1:9" x14ac:dyDescent="0.25">
      <c r="A30" s="3">
        <v>10480</v>
      </c>
      <c r="B30" s="4">
        <v>44878</v>
      </c>
      <c r="C30" t="s">
        <v>20</v>
      </c>
      <c r="D30" s="5">
        <v>13</v>
      </c>
      <c r="E30" s="6">
        <v>508.083140877598</v>
      </c>
      <c r="F30" s="3" t="s">
        <v>17</v>
      </c>
      <c r="G30" s="3" t="s">
        <v>21</v>
      </c>
      <c r="H30" t="s">
        <v>30</v>
      </c>
      <c r="I30" t="s">
        <v>15</v>
      </c>
    </row>
    <row r="31" spans="1:9" x14ac:dyDescent="0.25">
      <c r="A31" s="3">
        <v>10481</v>
      </c>
      <c r="B31" s="4">
        <v>44878</v>
      </c>
      <c r="C31" t="s">
        <v>24</v>
      </c>
      <c r="D31" s="5">
        <v>10</v>
      </c>
      <c r="E31" s="6">
        <v>201.00502512562801</v>
      </c>
      <c r="F31" s="3" t="s">
        <v>17</v>
      </c>
      <c r="G31" s="3" t="s">
        <v>21</v>
      </c>
      <c r="H31" t="s">
        <v>30</v>
      </c>
      <c r="I31" t="s">
        <v>15</v>
      </c>
    </row>
    <row r="32" spans="1:9" x14ac:dyDescent="0.25">
      <c r="A32" s="3">
        <v>10482</v>
      </c>
      <c r="B32" s="4">
        <v>44878</v>
      </c>
      <c r="C32" t="s">
        <v>8</v>
      </c>
      <c r="D32" s="5">
        <v>26</v>
      </c>
      <c r="E32" s="6">
        <v>630.37249283667597</v>
      </c>
      <c r="F32" s="3" t="s">
        <v>17</v>
      </c>
      <c r="G32" s="3" t="s">
        <v>21</v>
      </c>
      <c r="H32" t="s">
        <v>34</v>
      </c>
      <c r="I32" t="s">
        <v>19</v>
      </c>
    </row>
    <row r="33" spans="1:9" x14ac:dyDescent="0.25">
      <c r="A33" s="3">
        <v>10483</v>
      </c>
      <c r="B33" s="4">
        <v>44878</v>
      </c>
      <c r="C33" t="s">
        <v>13</v>
      </c>
      <c r="D33" s="5">
        <v>34</v>
      </c>
      <c r="E33" s="6">
        <v>677.96610169491498</v>
      </c>
      <c r="F33" s="3" t="s">
        <v>17</v>
      </c>
      <c r="G33" s="3" t="s">
        <v>21</v>
      </c>
      <c r="H33" t="s">
        <v>18</v>
      </c>
      <c r="I33" t="s">
        <v>19</v>
      </c>
    </row>
    <row r="34" spans="1:9" x14ac:dyDescent="0.25">
      <c r="A34" s="3">
        <v>10484</v>
      </c>
      <c r="B34" s="4">
        <v>44878</v>
      </c>
      <c r="C34" t="s">
        <v>16</v>
      </c>
      <c r="D34" s="5">
        <v>22</v>
      </c>
      <c r="E34" s="6">
        <v>200.40080160320599</v>
      </c>
      <c r="F34" s="3" t="s">
        <v>17</v>
      </c>
      <c r="G34" s="3" t="s">
        <v>21</v>
      </c>
      <c r="H34" t="s">
        <v>18</v>
      </c>
      <c r="I34" t="s">
        <v>19</v>
      </c>
    </row>
    <row r="35" spans="1:9" x14ac:dyDescent="0.25">
      <c r="A35" s="3">
        <v>10485</v>
      </c>
      <c r="B35" s="4">
        <v>44879</v>
      </c>
      <c r="C35" t="s">
        <v>20</v>
      </c>
      <c r="D35" s="5">
        <v>28</v>
      </c>
      <c r="E35" s="6">
        <v>523.47959969207102</v>
      </c>
      <c r="F35" s="3" t="s">
        <v>17</v>
      </c>
      <c r="G35" s="3" t="s">
        <v>21</v>
      </c>
      <c r="H35" t="s">
        <v>18</v>
      </c>
      <c r="I35" t="s">
        <v>19</v>
      </c>
    </row>
    <row r="36" spans="1:9" x14ac:dyDescent="0.25">
      <c r="A36" s="3">
        <v>10486</v>
      </c>
      <c r="B36" s="4">
        <v>44879</v>
      </c>
      <c r="C36" t="s">
        <v>24</v>
      </c>
      <c r="D36" s="5">
        <v>30</v>
      </c>
      <c r="E36" s="6">
        <v>201.00502512562801</v>
      </c>
      <c r="F36" s="3" t="s">
        <v>17</v>
      </c>
      <c r="G36" s="3" t="s">
        <v>21</v>
      </c>
      <c r="H36" t="s">
        <v>18</v>
      </c>
      <c r="I36" t="s">
        <v>19</v>
      </c>
    </row>
    <row r="37" spans="1:9" x14ac:dyDescent="0.25">
      <c r="A37" s="3">
        <v>10487</v>
      </c>
      <c r="B37" s="4">
        <v>44879</v>
      </c>
      <c r="C37" t="s">
        <v>8</v>
      </c>
      <c r="D37" s="5">
        <v>4</v>
      </c>
      <c r="E37" s="6">
        <v>630.37249283667597</v>
      </c>
      <c r="F37" s="3" t="s">
        <v>17</v>
      </c>
      <c r="G37" s="3" t="s">
        <v>21</v>
      </c>
      <c r="H37" t="s">
        <v>34</v>
      </c>
      <c r="I37" t="s">
        <v>19</v>
      </c>
    </row>
    <row r="38" spans="1:9" x14ac:dyDescent="0.25">
      <c r="A38" s="3">
        <v>10488</v>
      </c>
      <c r="B38" s="4">
        <v>44879</v>
      </c>
      <c r="C38" t="s">
        <v>13</v>
      </c>
      <c r="D38" s="5">
        <v>3</v>
      </c>
      <c r="E38" s="6">
        <v>677.96610169491498</v>
      </c>
      <c r="F38" s="3" t="s">
        <v>17</v>
      </c>
      <c r="G38" s="3" t="s">
        <v>21</v>
      </c>
      <c r="H38" t="s">
        <v>34</v>
      </c>
      <c r="I38" t="s">
        <v>19</v>
      </c>
    </row>
    <row r="39" spans="1:9" x14ac:dyDescent="0.25">
      <c r="A39" s="3">
        <v>10489</v>
      </c>
      <c r="B39" s="4">
        <v>44879</v>
      </c>
      <c r="C39" t="s">
        <v>16</v>
      </c>
      <c r="D39" s="5">
        <v>5</v>
      </c>
      <c r="E39" s="6">
        <v>200.40080160320599</v>
      </c>
      <c r="F39" s="3" t="s">
        <v>17</v>
      </c>
      <c r="G39" s="3" t="s">
        <v>21</v>
      </c>
      <c r="H39" t="s">
        <v>30</v>
      </c>
      <c r="I39" t="s">
        <v>15</v>
      </c>
    </row>
    <row r="40" spans="1:9" x14ac:dyDescent="0.25">
      <c r="A40" s="3">
        <v>10490</v>
      </c>
      <c r="B40" s="4">
        <v>44880</v>
      </c>
      <c r="C40" t="s">
        <v>20</v>
      </c>
      <c r="D40" s="5">
        <v>13</v>
      </c>
      <c r="E40" s="6">
        <v>508.083140877598</v>
      </c>
      <c r="F40" s="3" t="s">
        <v>17</v>
      </c>
      <c r="G40" s="3" t="s">
        <v>21</v>
      </c>
      <c r="H40" t="s">
        <v>30</v>
      </c>
      <c r="I40" t="s">
        <v>15</v>
      </c>
    </row>
    <row r="41" spans="1:9" x14ac:dyDescent="0.25">
      <c r="A41" s="3">
        <v>10491</v>
      </c>
      <c r="B41" s="4">
        <v>44880</v>
      </c>
      <c r="C41" t="s">
        <v>24</v>
      </c>
      <c r="D41" s="5">
        <v>10</v>
      </c>
      <c r="E41" s="6">
        <v>201.00502512562801</v>
      </c>
      <c r="F41" s="3" t="s">
        <v>17</v>
      </c>
      <c r="G41" s="3" t="s">
        <v>21</v>
      </c>
      <c r="H41" t="s">
        <v>30</v>
      </c>
      <c r="I41" t="s">
        <v>15</v>
      </c>
    </row>
    <row r="42" spans="1:9" x14ac:dyDescent="0.25">
      <c r="A42" s="3">
        <v>10492</v>
      </c>
      <c r="B42" s="4">
        <v>44880</v>
      </c>
      <c r="C42" t="s">
        <v>8</v>
      </c>
      <c r="D42" s="5">
        <v>4</v>
      </c>
      <c r="E42" s="6">
        <v>573.065902578796</v>
      </c>
      <c r="F42" s="3" t="s">
        <v>17</v>
      </c>
      <c r="G42" s="3" t="s">
        <v>21</v>
      </c>
      <c r="H42" t="s">
        <v>30</v>
      </c>
      <c r="I42" t="s">
        <v>15</v>
      </c>
    </row>
    <row r="43" spans="1:9" x14ac:dyDescent="0.25">
      <c r="A43" s="3">
        <v>10493</v>
      </c>
      <c r="B43" s="4">
        <v>44880</v>
      </c>
      <c r="C43" t="s">
        <v>13</v>
      </c>
      <c r="D43" s="5">
        <v>3</v>
      </c>
      <c r="E43" s="6">
        <v>677.96610169491498</v>
      </c>
      <c r="F43" s="3" t="s">
        <v>17</v>
      </c>
      <c r="G43" s="3" t="s">
        <v>21</v>
      </c>
      <c r="H43" t="s">
        <v>30</v>
      </c>
      <c r="I43" t="s">
        <v>15</v>
      </c>
    </row>
    <row r="44" spans="1:9" x14ac:dyDescent="0.25">
      <c r="A44" s="3">
        <v>10494</v>
      </c>
      <c r="B44" s="4">
        <v>44880</v>
      </c>
      <c r="C44" t="s">
        <v>16</v>
      </c>
      <c r="D44" s="5">
        <v>5</v>
      </c>
      <c r="E44" s="6">
        <v>200.40080160320599</v>
      </c>
      <c r="F44" s="3" t="s">
        <v>17</v>
      </c>
      <c r="G44" s="3" t="s">
        <v>21</v>
      </c>
      <c r="H44" t="s">
        <v>30</v>
      </c>
      <c r="I44" t="s">
        <v>15</v>
      </c>
    </row>
    <row r="45" spans="1:9" x14ac:dyDescent="0.25">
      <c r="A45" s="3">
        <v>10495</v>
      </c>
      <c r="B45" s="4">
        <v>44881</v>
      </c>
      <c r="C45" t="s">
        <v>20</v>
      </c>
      <c r="D45" s="5">
        <v>13</v>
      </c>
      <c r="E45" s="6">
        <v>508.083140877598</v>
      </c>
      <c r="F45" s="3" t="s">
        <v>17</v>
      </c>
      <c r="G45" s="3" t="s">
        <v>21</v>
      </c>
      <c r="H45" t="s">
        <v>30</v>
      </c>
      <c r="I45" t="s">
        <v>15</v>
      </c>
    </row>
    <row r="46" spans="1:9" x14ac:dyDescent="0.25">
      <c r="A46" s="3">
        <v>10496</v>
      </c>
      <c r="B46" s="4">
        <v>44881</v>
      </c>
      <c r="C46" t="s">
        <v>24</v>
      </c>
      <c r="D46" s="5">
        <v>10</v>
      </c>
      <c r="E46" s="6">
        <v>201.00502512562801</v>
      </c>
      <c r="F46" s="3" t="s">
        <v>17</v>
      </c>
      <c r="G46" s="3" t="s">
        <v>21</v>
      </c>
      <c r="H46" t="s">
        <v>30</v>
      </c>
      <c r="I46" t="s">
        <v>15</v>
      </c>
    </row>
    <row r="47" spans="1:9" x14ac:dyDescent="0.25">
      <c r="A47" s="3">
        <v>10497</v>
      </c>
      <c r="B47" s="4">
        <v>44881</v>
      </c>
      <c r="C47" t="s">
        <v>8</v>
      </c>
      <c r="D47" s="5">
        <v>4</v>
      </c>
      <c r="E47" s="6">
        <v>573.065902578796</v>
      </c>
      <c r="F47" s="3" t="s">
        <v>17</v>
      </c>
      <c r="G47" s="3" t="s">
        <v>21</v>
      </c>
      <c r="H47" t="s">
        <v>30</v>
      </c>
      <c r="I47" t="s">
        <v>15</v>
      </c>
    </row>
    <row r="48" spans="1:9" x14ac:dyDescent="0.25">
      <c r="A48" s="3">
        <v>10498</v>
      </c>
      <c r="B48" s="4">
        <v>44881</v>
      </c>
      <c r="C48" t="s">
        <v>13</v>
      </c>
      <c r="D48" s="5">
        <v>3</v>
      </c>
      <c r="E48" s="6">
        <v>677.96610169491498</v>
      </c>
      <c r="F48" s="3" t="s">
        <v>35</v>
      </c>
      <c r="G48" s="3" t="s">
        <v>21</v>
      </c>
      <c r="H48" t="s">
        <v>30</v>
      </c>
      <c r="I48" t="s">
        <v>15</v>
      </c>
    </row>
    <row r="49" spans="1:9" x14ac:dyDescent="0.25">
      <c r="A49" s="3">
        <v>10499</v>
      </c>
      <c r="B49" s="4">
        <v>44881</v>
      </c>
      <c r="C49" t="s">
        <v>16</v>
      </c>
      <c r="D49" s="5">
        <v>5</v>
      </c>
      <c r="E49" s="6">
        <v>200.40080160320599</v>
      </c>
      <c r="F49" s="3" t="s">
        <v>35</v>
      </c>
      <c r="G49" s="3" t="s">
        <v>21</v>
      </c>
      <c r="H49" t="s">
        <v>30</v>
      </c>
      <c r="I49" t="s">
        <v>15</v>
      </c>
    </row>
    <row r="50" spans="1:9" x14ac:dyDescent="0.25">
      <c r="A50" s="3">
        <v>10500</v>
      </c>
      <c r="B50" s="4">
        <v>44882</v>
      </c>
      <c r="C50" t="s">
        <v>20</v>
      </c>
      <c r="D50" s="5">
        <v>13</v>
      </c>
      <c r="E50" s="6">
        <v>523.47959969207102</v>
      </c>
      <c r="F50" s="3" t="s">
        <v>35</v>
      </c>
      <c r="G50" s="3" t="s">
        <v>21</v>
      </c>
      <c r="H50" t="s">
        <v>30</v>
      </c>
      <c r="I50" t="s">
        <v>15</v>
      </c>
    </row>
    <row r="51" spans="1:9" x14ac:dyDescent="0.25">
      <c r="A51" s="3">
        <v>10501</v>
      </c>
      <c r="B51" s="4">
        <v>44882</v>
      </c>
      <c r="C51" t="s">
        <v>24</v>
      </c>
      <c r="D51" s="5">
        <v>10</v>
      </c>
      <c r="E51" s="6">
        <v>201.00502512562801</v>
      </c>
      <c r="F51" s="3" t="s">
        <v>35</v>
      </c>
      <c r="G51" s="3" t="s">
        <v>21</v>
      </c>
      <c r="H51" t="s">
        <v>30</v>
      </c>
      <c r="I51" t="s">
        <v>15</v>
      </c>
    </row>
    <row r="52" spans="1:9" x14ac:dyDescent="0.25">
      <c r="A52" s="3">
        <v>10502</v>
      </c>
      <c r="B52" s="4">
        <v>44882</v>
      </c>
      <c r="C52" t="s">
        <v>8</v>
      </c>
      <c r="D52" s="5">
        <v>4</v>
      </c>
      <c r="E52" s="6">
        <v>630.37249283667597</v>
      </c>
      <c r="F52" s="3" t="s">
        <v>35</v>
      </c>
      <c r="G52" s="3" t="s">
        <v>21</v>
      </c>
      <c r="H52" t="s">
        <v>30</v>
      </c>
      <c r="I52" t="s">
        <v>15</v>
      </c>
    </row>
    <row r="53" spans="1:9" x14ac:dyDescent="0.25">
      <c r="A53" s="3">
        <v>10503</v>
      </c>
      <c r="B53" s="4">
        <v>44882</v>
      </c>
      <c r="C53" t="s">
        <v>13</v>
      </c>
      <c r="D53" s="5">
        <v>3</v>
      </c>
      <c r="E53" s="6">
        <v>677.96610169491498</v>
      </c>
      <c r="F53" s="3" t="s">
        <v>35</v>
      </c>
      <c r="G53" s="3" t="s">
        <v>21</v>
      </c>
      <c r="H53" t="s">
        <v>30</v>
      </c>
      <c r="I53" t="s">
        <v>15</v>
      </c>
    </row>
    <row r="54" spans="1:9" x14ac:dyDescent="0.25">
      <c r="A54" s="3">
        <v>10504</v>
      </c>
      <c r="B54" s="4">
        <v>44882</v>
      </c>
      <c r="C54" t="s">
        <v>16</v>
      </c>
      <c r="D54" s="5">
        <v>5</v>
      </c>
      <c r="E54" s="6">
        <v>200.40080160320599</v>
      </c>
      <c r="F54" s="3" t="s">
        <v>35</v>
      </c>
      <c r="G54" s="3" t="s">
        <v>21</v>
      </c>
      <c r="H54" t="s">
        <v>30</v>
      </c>
      <c r="I54" t="s">
        <v>15</v>
      </c>
    </row>
    <row r="55" spans="1:9" x14ac:dyDescent="0.25">
      <c r="A55" s="3">
        <v>10505</v>
      </c>
      <c r="B55" s="4">
        <v>44883</v>
      </c>
      <c r="C55" t="s">
        <v>20</v>
      </c>
      <c r="D55" s="5">
        <v>13</v>
      </c>
      <c r="E55" s="6">
        <v>538.87605850654302</v>
      </c>
      <c r="F55" s="3" t="s">
        <v>35</v>
      </c>
      <c r="G55" s="3" t="s">
        <v>21</v>
      </c>
      <c r="H55" t="s">
        <v>30</v>
      </c>
      <c r="I55" t="s">
        <v>15</v>
      </c>
    </row>
    <row r="56" spans="1:9" x14ac:dyDescent="0.25">
      <c r="A56" s="3">
        <v>10506</v>
      </c>
      <c r="B56" s="4">
        <v>44883</v>
      </c>
      <c r="C56" t="s">
        <v>24</v>
      </c>
      <c r="D56" s="5">
        <v>10</v>
      </c>
      <c r="E56" s="6">
        <v>201.00502512562801</v>
      </c>
      <c r="F56" s="3" t="s">
        <v>35</v>
      </c>
      <c r="G56" s="3" t="s">
        <v>21</v>
      </c>
      <c r="H56" t="s">
        <v>30</v>
      </c>
      <c r="I56" t="s">
        <v>15</v>
      </c>
    </row>
    <row r="57" spans="1:9" x14ac:dyDescent="0.25">
      <c r="A57" s="3">
        <v>10507</v>
      </c>
      <c r="B57" s="4">
        <v>44883</v>
      </c>
      <c r="C57" t="s">
        <v>8</v>
      </c>
      <c r="D57" s="5">
        <v>4</v>
      </c>
      <c r="E57" s="6">
        <v>687.67908309455595</v>
      </c>
      <c r="F57" s="3" t="s">
        <v>35</v>
      </c>
      <c r="G57" s="3" t="s">
        <v>21</v>
      </c>
      <c r="H57" t="s">
        <v>30</v>
      </c>
      <c r="I57" t="s">
        <v>15</v>
      </c>
    </row>
    <row r="58" spans="1:9" x14ac:dyDescent="0.25">
      <c r="A58" s="3">
        <v>10508</v>
      </c>
      <c r="B58" s="4">
        <v>44883</v>
      </c>
      <c r="C58" t="s">
        <v>13</v>
      </c>
      <c r="D58" s="5">
        <v>3</v>
      </c>
      <c r="E58" s="6">
        <v>677.96610169491498</v>
      </c>
      <c r="F58" s="3" t="s">
        <v>35</v>
      </c>
      <c r="G58" s="3" t="s">
        <v>21</v>
      </c>
      <c r="H58" t="s">
        <v>30</v>
      </c>
      <c r="I58" t="s">
        <v>15</v>
      </c>
    </row>
    <row r="59" spans="1:9" x14ac:dyDescent="0.25">
      <c r="A59" s="3">
        <v>10509</v>
      </c>
      <c r="B59" s="4">
        <v>44883</v>
      </c>
      <c r="C59" t="s">
        <v>16</v>
      </c>
      <c r="D59" s="5">
        <v>5</v>
      </c>
      <c r="E59" s="6">
        <v>200.40080160320599</v>
      </c>
      <c r="F59" s="3" t="s">
        <v>35</v>
      </c>
      <c r="G59" s="3" t="s">
        <v>21</v>
      </c>
      <c r="H59" t="s">
        <v>30</v>
      </c>
      <c r="I59" t="s">
        <v>15</v>
      </c>
    </row>
    <row r="60" spans="1:9" x14ac:dyDescent="0.25">
      <c r="A60" s="3">
        <v>10510</v>
      </c>
      <c r="B60" s="4">
        <v>44884</v>
      </c>
      <c r="C60" t="s">
        <v>20</v>
      </c>
      <c r="D60" s="5">
        <v>13</v>
      </c>
      <c r="E60" s="6">
        <v>508.083140877598</v>
      </c>
      <c r="F60" s="3" t="s">
        <v>35</v>
      </c>
      <c r="G60" s="3" t="s">
        <v>21</v>
      </c>
      <c r="H60" t="s">
        <v>30</v>
      </c>
      <c r="I60" t="s">
        <v>15</v>
      </c>
    </row>
    <row r="61" spans="1:9" x14ac:dyDescent="0.25">
      <c r="A61" s="3">
        <v>10511</v>
      </c>
      <c r="B61" s="4">
        <v>44884</v>
      </c>
      <c r="C61" t="s">
        <v>24</v>
      </c>
      <c r="D61" s="5">
        <v>10</v>
      </c>
      <c r="E61" s="6">
        <v>201.00502512562801</v>
      </c>
      <c r="F61" s="3" t="s">
        <v>35</v>
      </c>
      <c r="G61" s="3" t="s">
        <v>21</v>
      </c>
      <c r="H61" t="s">
        <v>34</v>
      </c>
      <c r="I61" t="s">
        <v>19</v>
      </c>
    </row>
    <row r="62" spans="1:9" x14ac:dyDescent="0.25">
      <c r="A62" s="3">
        <v>10512</v>
      </c>
      <c r="B62" s="4">
        <v>44884</v>
      </c>
      <c r="C62" t="s">
        <v>8</v>
      </c>
      <c r="D62" s="5">
        <v>4</v>
      </c>
      <c r="E62" s="6">
        <v>687.67908309455595</v>
      </c>
      <c r="F62" s="3" t="s">
        <v>35</v>
      </c>
      <c r="G62" s="3" t="s">
        <v>21</v>
      </c>
      <c r="H62" t="s">
        <v>34</v>
      </c>
      <c r="I62" t="s">
        <v>19</v>
      </c>
    </row>
    <row r="63" spans="1:9" x14ac:dyDescent="0.25">
      <c r="A63" s="3">
        <v>10513</v>
      </c>
      <c r="B63" s="4">
        <v>44884</v>
      </c>
      <c r="C63" t="s">
        <v>13</v>
      </c>
      <c r="D63" s="5">
        <v>3</v>
      </c>
      <c r="E63" s="6">
        <v>677.96610169491498</v>
      </c>
      <c r="F63" s="3" t="s">
        <v>35</v>
      </c>
      <c r="G63" s="3" t="s">
        <v>36</v>
      </c>
      <c r="H63" t="s">
        <v>34</v>
      </c>
      <c r="I63" t="s">
        <v>19</v>
      </c>
    </row>
    <row r="64" spans="1:9" x14ac:dyDescent="0.25">
      <c r="A64" s="3">
        <v>10514</v>
      </c>
      <c r="B64" s="4">
        <v>44884</v>
      </c>
      <c r="C64" t="s">
        <v>16</v>
      </c>
      <c r="D64" s="5">
        <v>5</v>
      </c>
      <c r="E64" s="6">
        <v>200.40080160320599</v>
      </c>
      <c r="F64" s="3" t="s">
        <v>35</v>
      </c>
      <c r="G64" s="3" t="s">
        <v>36</v>
      </c>
      <c r="H64" t="s">
        <v>34</v>
      </c>
      <c r="I64" t="s">
        <v>19</v>
      </c>
    </row>
    <row r="65" spans="1:9" x14ac:dyDescent="0.25">
      <c r="A65" s="3">
        <v>10515</v>
      </c>
      <c r="B65" s="4">
        <v>44885</v>
      </c>
      <c r="C65" t="s">
        <v>20</v>
      </c>
      <c r="D65" s="5">
        <v>13</v>
      </c>
      <c r="E65" s="6">
        <v>477.29022324865298</v>
      </c>
      <c r="F65" s="3" t="s">
        <v>35</v>
      </c>
      <c r="G65" s="3" t="s">
        <v>36</v>
      </c>
      <c r="H65" t="s">
        <v>34</v>
      </c>
      <c r="I65" t="s">
        <v>19</v>
      </c>
    </row>
    <row r="66" spans="1:9" x14ac:dyDescent="0.25">
      <c r="A66" s="3">
        <v>10516</v>
      </c>
      <c r="B66" s="4">
        <v>44885</v>
      </c>
      <c r="C66" t="s">
        <v>24</v>
      </c>
      <c r="D66" s="5">
        <v>10</v>
      </c>
      <c r="E66" s="6">
        <v>201.00502512562801</v>
      </c>
      <c r="F66" s="3" t="s">
        <v>35</v>
      </c>
      <c r="G66" s="3" t="s">
        <v>36</v>
      </c>
      <c r="H66" t="s">
        <v>34</v>
      </c>
      <c r="I66" t="s">
        <v>19</v>
      </c>
    </row>
    <row r="67" spans="1:9" x14ac:dyDescent="0.25">
      <c r="A67" s="3">
        <v>10483</v>
      </c>
      <c r="B67" s="4">
        <v>44878</v>
      </c>
      <c r="C67" t="s">
        <v>13</v>
      </c>
      <c r="D67" s="5">
        <v>3</v>
      </c>
      <c r="E67" s="6">
        <v>677.96610169491498</v>
      </c>
      <c r="F67" s="3" t="s">
        <v>17</v>
      </c>
      <c r="G67" s="3" t="s">
        <v>21</v>
      </c>
      <c r="H67" t="s">
        <v>18</v>
      </c>
      <c r="I67" t="s">
        <v>19</v>
      </c>
    </row>
    <row r="68" spans="1:9" x14ac:dyDescent="0.25">
      <c r="A68" s="3">
        <v>10484</v>
      </c>
      <c r="B68" s="4">
        <v>44878</v>
      </c>
      <c r="C68" t="s">
        <v>16</v>
      </c>
      <c r="D68" s="5">
        <v>5</v>
      </c>
      <c r="E68" s="6">
        <v>200.40080160320599</v>
      </c>
      <c r="F68" s="3" t="s">
        <v>17</v>
      </c>
      <c r="G68" s="3" t="s">
        <v>21</v>
      </c>
      <c r="H68" t="s">
        <v>18</v>
      </c>
      <c r="I68" t="s">
        <v>19</v>
      </c>
    </row>
    <row r="69" spans="1:9" x14ac:dyDescent="0.25">
      <c r="A69" s="3">
        <v>10485</v>
      </c>
      <c r="B69" s="4">
        <v>44879</v>
      </c>
      <c r="C69" t="s">
        <v>20</v>
      </c>
      <c r="D69" s="5">
        <v>13</v>
      </c>
      <c r="E69" s="6">
        <v>523.47959969207102</v>
      </c>
      <c r="F69" s="3" t="s">
        <v>17</v>
      </c>
      <c r="G69" s="3" t="s">
        <v>21</v>
      </c>
      <c r="H69" t="s">
        <v>18</v>
      </c>
      <c r="I69" t="s">
        <v>19</v>
      </c>
    </row>
    <row r="70" spans="1:9" x14ac:dyDescent="0.25">
      <c r="A70" s="3">
        <v>10520</v>
      </c>
      <c r="B70" s="4">
        <v>44886</v>
      </c>
      <c r="C70" t="s">
        <v>20</v>
      </c>
      <c r="D70" s="5">
        <v>13</v>
      </c>
      <c r="E70" s="6">
        <v>492.68668206312498</v>
      </c>
      <c r="F70" s="3" t="s">
        <v>35</v>
      </c>
      <c r="G70" s="3" t="s">
        <v>36</v>
      </c>
      <c r="H70" t="s">
        <v>27</v>
      </c>
      <c r="I70" t="s">
        <v>26</v>
      </c>
    </row>
    <row r="71" spans="1:9" x14ac:dyDescent="0.25">
      <c r="A71" s="3">
        <v>10521</v>
      </c>
      <c r="B71" s="4">
        <v>44886</v>
      </c>
      <c r="C71" t="s">
        <v>24</v>
      </c>
      <c r="D71" s="5">
        <v>10</v>
      </c>
      <c r="E71" s="6">
        <v>201.00502512562801</v>
      </c>
      <c r="F71" s="3" t="s">
        <v>35</v>
      </c>
      <c r="G71" s="3" t="s">
        <v>36</v>
      </c>
      <c r="H71" t="s">
        <v>27</v>
      </c>
      <c r="I71" t="s">
        <v>26</v>
      </c>
    </row>
    <row r="72" spans="1:9" x14ac:dyDescent="0.25">
      <c r="A72" s="3">
        <v>10522</v>
      </c>
      <c r="B72" s="4">
        <v>44886</v>
      </c>
      <c r="C72" t="s">
        <v>8</v>
      </c>
      <c r="D72" s="5">
        <v>4</v>
      </c>
      <c r="E72" s="6">
        <v>687.67908309455595</v>
      </c>
      <c r="F72" s="3" t="s">
        <v>35</v>
      </c>
      <c r="G72" s="3" t="s">
        <v>36</v>
      </c>
      <c r="H72" t="s">
        <v>27</v>
      </c>
      <c r="I72" t="s">
        <v>26</v>
      </c>
    </row>
    <row r="73" spans="1:9" x14ac:dyDescent="0.25">
      <c r="A73" s="3">
        <v>10523</v>
      </c>
      <c r="B73" s="4">
        <v>44886</v>
      </c>
      <c r="C73" t="s">
        <v>13</v>
      </c>
      <c r="D73" s="5">
        <v>3</v>
      </c>
      <c r="E73" s="6">
        <v>745.76271186440704</v>
      </c>
      <c r="F73" s="3" t="s">
        <v>35</v>
      </c>
      <c r="G73" s="3" t="s">
        <v>36</v>
      </c>
      <c r="H73" t="s">
        <v>27</v>
      </c>
      <c r="I73" t="s">
        <v>26</v>
      </c>
    </row>
    <row r="74" spans="1:9" x14ac:dyDescent="0.25">
      <c r="A74" s="3">
        <v>10524</v>
      </c>
      <c r="B74" s="4">
        <v>44886</v>
      </c>
      <c r="C74" t="s">
        <v>16</v>
      </c>
      <c r="D74" s="5">
        <v>5</v>
      </c>
      <c r="E74" s="6">
        <v>200.40080160320599</v>
      </c>
      <c r="F74" s="3" t="s">
        <v>35</v>
      </c>
      <c r="G74" s="3" t="s">
        <v>36</v>
      </c>
      <c r="H74" t="s">
        <v>27</v>
      </c>
      <c r="I74" t="s">
        <v>26</v>
      </c>
    </row>
    <row r="75" spans="1:9" x14ac:dyDescent="0.25">
      <c r="A75" s="3">
        <v>10525</v>
      </c>
      <c r="B75" s="4">
        <v>44887</v>
      </c>
      <c r="C75" t="s">
        <v>20</v>
      </c>
      <c r="D75" s="5">
        <v>13</v>
      </c>
      <c r="E75" s="6">
        <v>461.89376443418001</v>
      </c>
      <c r="F75" s="3" t="s">
        <v>35</v>
      </c>
      <c r="G75" s="3" t="s">
        <v>36</v>
      </c>
      <c r="H75" t="s">
        <v>27</v>
      </c>
      <c r="I75" t="s">
        <v>26</v>
      </c>
    </row>
    <row r="76" spans="1:9" x14ac:dyDescent="0.25">
      <c r="A76" s="3">
        <v>10526</v>
      </c>
      <c r="B76" s="4">
        <v>44887</v>
      </c>
      <c r="C76" t="s">
        <v>24</v>
      </c>
      <c r="D76" s="5">
        <v>10</v>
      </c>
      <c r="E76" s="6">
        <v>201.00502512562801</v>
      </c>
      <c r="F76" s="3" t="s">
        <v>35</v>
      </c>
      <c r="G76" s="3" t="s">
        <v>36</v>
      </c>
      <c r="H76" t="s">
        <v>27</v>
      </c>
      <c r="I76" t="s">
        <v>26</v>
      </c>
    </row>
    <row r="77" spans="1:9" x14ac:dyDescent="0.25">
      <c r="A77" s="3">
        <v>10527</v>
      </c>
      <c r="B77" s="4">
        <v>44887</v>
      </c>
      <c r="C77" t="s">
        <v>8</v>
      </c>
      <c r="D77" s="5">
        <v>4</v>
      </c>
      <c r="E77" s="6">
        <v>687.67908309455595</v>
      </c>
      <c r="F77" s="3" t="s">
        <v>35</v>
      </c>
      <c r="G77" s="3" t="s">
        <v>36</v>
      </c>
      <c r="H77" t="s">
        <v>27</v>
      </c>
      <c r="I77" t="s">
        <v>26</v>
      </c>
    </row>
    <row r="78" spans="1:9" x14ac:dyDescent="0.25">
      <c r="A78" s="3">
        <v>10528</v>
      </c>
      <c r="B78" s="4">
        <v>44887</v>
      </c>
      <c r="C78" t="s">
        <v>13</v>
      </c>
      <c r="D78" s="5">
        <v>3</v>
      </c>
      <c r="E78" s="6">
        <v>745.76271186440704</v>
      </c>
      <c r="F78" s="3" t="s">
        <v>35</v>
      </c>
      <c r="G78" s="3" t="s">
        <v>36</v>
      </c>
      <c r="H78" t="s">
        <v>27</v>
      </c>
      <c r="I78" t="s">
        <v>26</v>
      </c>
    </row>
    <row r="79" spans="1:9" x14ac:dyDescent="0.25">
      <c r="A79" s="3">
        <v>10529</v>
      </c>
      <c r="B79" s="4">
        <v>44887</v>
      </c>
      <c r="C79" t="s">
        <v>16</v>
      </c>
      <c r="D79" s="5">
        <v>5</v>
      </c>
      <c r="E79" s="6">
        <v>200.40080160320599</v>
      </c>
      <c r="F79" s="3" t="s">
        <v>35</v>
      </c>
      <c r="G79" s="3" t="s">
        <v>36</v>
      </c>
      <c r="H79" t="s">
        <v>27</v>
      </c>
      <c r="I79" t="s">
        <v>26</v>
      </c>
    </row>
    <row r="80" spans="1:9" x14ac:dyDescent="0.25">
      <c r="A80" s="3">
        <v>10530</v>
      </c>
      <c r="B80" s="4">
        <v>44888</v>
      </c>
      <c r="C80" t="s">
        <v>20</v>
      </c>
      <c r="D80" s="5">
        <v>13</v>
      </c>
      <c r="E80" s="6">
        <v>477.29022324865298</v>
      </c>
      <c r="F80" s="3" t="s">
        <v>35</v>
      </c>
      <c r="G80" s="3" t="s">
        <v>36</v>
      </c>
      <c r="H80" t="s">
        <v>27</v>
      </c>
      <c r="I80" t="s">
        <v>26</v>
      </c>
    </row>
    <row r="81" spans="1:9" x14ac:dyDescent="0.25">
      <c r="A81" s="3">
        <v>10531</v>
      </c>
      <c r="B81" s="4">
        <v>44888</v>
      </c>
      <c r="C81" t="s">
        <v>24</v>
      </c>
      <c r="D81" s="5">
        <v>10</v>
      </c>
      <c r="E81" s="6">
        <v>201.00502512562801</v>
      </c>
      <c r="F81" s="3" t="s">
        <v>35</v>
      </c>
      <c r="G81" s="3" t="s">
        <v>36</v>
      </c>
      <c r="H81" t="s">
        <v>27</v>
      </c>
      <c r="I81" t="s">
        <v>26</v>
      </c>
    </row>
    <row r="82" spans="1:9" x14ac:dyDescent="0.25">
      <c r="A82" s="3">
        <v>10532</v>
      </c>
      <c r="B82" s="4">
        <v>44888</v>
      </c>
      <c r="C82" t="s">
        <v>8</v>
      </c>
      <c r="D82" s="5">
        <v>4</v>
      </c>
      <c r="E82" s="6">
        <v>687.67908309455595</v>
      </c>
      <c r="F82" s="3" t="s">
        <v>35</v>
      </c>
      <c r="G82" s="3" t="s">
        <v>36</v>
      </c>
      <c r="H82" t="s">
        <v>34</v>
      </c>
      <c r="I82" t="s">
        <v>19</v>
      </c>
    </row>
    <row r="83" spans="1:9" x14ac:dyDescent="0.25">
      <c r="A83" s="3">
        <v>10533</v>
      </c>
      <c r="B83" s="4">
        <v>44888</v>
      </c>
      <c r="C83" t="s">
        <v>13</v>
      </c>
      <c r="D83" s="5">
        <v>3</v>
      </c>
      <c r="E83" s="6">
        <v>745.76271186440704</v>
      </c>
      <c r="F83" s="3" t="s">
        <v>35</v>
      </c>
      <c r="G83" s="3" t="s">
        <v>36</v>
      </c>
      <c r="H83" t="s">
        <v>34</v>
      </c>
      <c r="I83" t="s">
        <v>19</v>
      </c>
    </row>
    <row r="84" spans="1:9" x14ac:dyDescent="0.25">
      <c r="A84" s="3">
        <v>10534</v>
      </c>
      <c r="B84" s="4">
        <v>44888</v>
      </c>
      <c r="C84" t="s">
        <v>16</v>
      </c>
      <c r="D84" s="5">
        <v>5</v>
      </c>
      <c r="E84" s="6">
        <v>200.40080160320599</v>
      </c>
      <c r="F84" s="3" t="s">
        <v>35</v>
      </c>
      <c r="G84" s="3" t="s">
        <v>36</v>
      </c>
      <c r="H84" t="s">
        <v>30</v>
      </c>
      <c r="I84" t="s">
        <v>15</v>
      </c>
    </row>
    <row r="85" spans="1:9" x14ac:dyDescent="0.25">
      <c r="A85" s="3">
        <v>10535</v>
      </c>
      <c r="B85" s="4">
        <v>44889</v>
      </c>
      <c r="C85" t="s">
        <v>20</v>
      </c>
      <c r="D85" s="5">
        <v>13</v>
      </c>
      <c r="E85" s="6">
        <v>477.29022324865298</v>
      </c>
      <c r="F85" s="3" t="s">
        <v>35</v>
      </c>
      <c r="G85" s="3" t="s">
        <v>21</v>
      </c>
      <c r="H85" t="s">
        <v>30</v>
      </c>
      <c r="I85" t="s">
        <v>15</v>
      </c>
    </row>
    <row r="86" spans="1:9" x14ac:dyDescent="0.25">
      <c r="A86" s="3">
        <v>10536</v>
      </c>
      <c r="B86" s="4">
        <v>44889</v>
      </c>
      <c r="C86" t="s">
        <v>24</v>
      </c>
      <c r="D86" s="5">
        <v>10</v>
      </c>
      <c r="E86" s="6">
        <v>201.00502512562801</v>
      </c>
      <c r="F86" s="3" t="s">
        <v>35</v>
      </c>
      <c r="G86" s="3" t="s">
        <v>21</v>
      </c>
      <c r="H86" t="s">
        <v>30</v>
      </c>
      <c r="I86" t="s">
        <v>15</v>
      </c>
    </row>
    <row r="87" spans="1:9" x14ac:dyDescent="0.25">
      <c r="A87" s="3">
        <v>10537</v>
      </c>
      <c r="B87" s="4">
        <v>44889</v>
      </c>
      <c r="C87" t="s">
        <v>8</v>
      </c>
      <c r="D87" s="5">
        <v>4</v>
      </c>
      <c r="E87" s="6">
        <v>630.37249283667597</v>
      </c>
      <c r="F87" s="3" t="s">
        <v>35</v>
      </c>
      <c r="G87" s="3" t="s">
        <v>21</v>
      </c>
      <c r="H87" t="s">
        <v>30</v>
      </c>
      <c r="I87" t="s">
        <v>15</v>
      </c>
    </row>
    <row r="88" spans="1:9" x14ac:dyDescent="0.25">
      <c r="A88" s="3">
        <v>10538</v>
      </c>
      <c r="B88" s="4">
        <v>44889</v>
      </c>
      <c r="C88" t="s">
        <v>13</v>
      </c>
      <c r="D88" s="5">
        <v>3</v>
      </c>
      <c r="E88" s="6">
        <v>745.76271186440704</v>
      </c>
      <c r="F88" s="3" t="s">
        <v>35</v>
      </c>
      <c r="G88" s="3" t="s">
        <v>21</v>
      </c>
      <c r="H88" t="s">
        <v>30</v>
      </c>
      <c r="I88" t="s">
        <v>15</v>
      </c>
    </row>
    <row r="89" spans="1:9" x14ac:dyDescent="0.25">
      <c r="A89" s="3">
        <v>10539</v>
      </c>
      <c r="B89" s="4">
        <v>44889</v>
      </c>
      <c r="C89" t="s">
        <v>16</v>
      </c>
      <c r="D89" s="5">
        <v>5</v>
      </c>
      <c r="E89" s="6">
        <v>200.40080160320599</v>
      </c>
      <c r="F89" s="3" t="s">
        <v>35</v>
      </c>
      <c r="G89" s="3" t="s">
        <v>21</v>
      </c>
      <c r="H89" t="s">
        <v>30</v>
      </c>
      <c r="I89" t="s">
        <v>15</v>
      </c>
    </row>
    <row r="90" spans="1:9" x14ac:dyDescent="0.25">
      <c r="A90" s="3">
        <v>10540</v>
      </c>
      <c r="B90" s="4">
        <v>44890</v>
      </c>
      <c r="C90" t="s">
        <v>20</v>
      </c>
      <c r="D90" s="5">
        <v>13</v>
      </c>
      <c r="E90" s="6">
        <v>461.89376443418001</v>
      </c>
      <c r="F90" s="3" t="s">
        <v>35</v>
      </c>
      <c r="G90" s="3" t="s">
        <v>21</v>
      </c>
      <c r="H90" t="s">
        <v>30</v>
      </c>
      <c r="I90" t="s">
        <v>15</v>
      </c>
    </row>
    <row r="91" spans="1:9" x14ac:dyDescent="0.25">
      <c r="A91" s="3">
        <v>10541</v>
      </c>
      <c r="B91" s="4">
        <v>44890</v>
      </c>
      <c r="C91" t="s">
        <v>24</v>
      </c>
      <c r="D91" s="5">
        <v>10</v>
      </c>
      <c r="E91" s="6">
        <v>201.00502512562801</v>
      </c>
      <c r="F91" s="3" t="s">
        <v>35</v>
      </c>
      <c r="G91" s="3" t="s">
        <v>21</v>
      </c>
      <c r="H91" t="s">
        <v>37</v>
      </c>
      <c r="I91" t="s">
        <v>12</v>
      </c>
    </row>
    <row r="92" spans="1:9" x14ac:dyDescent="0.25">
      <c r="A92" s="3">
        <v>10542</v>
      </c>
      <c r="B92" s="4">
        <v>44890</v>
      </c>
      <c r="C92" t="s">
        <v>8</v>
      </c>
      <c r="D92" s="5">
        <v>4</v>
      </c>
      <c r="E92" s="6">
        <v>630.37249283667597</v>
      </c>
      <c r="F92" s="3" t="s">
        <v>35</v>
      </c>
      <c r="G92" s="3" t="s">
        <v>21</v>
      </c>
      <c r="H92" t="s">
        <v>37</v>
      </c>
      <c r="I92" t="s">
        <v>12</v>
      </c>
    </row>
    <row r="93" spans="1:9" x14ac:dyDescent="0.25">
      <c r="A93" s="3">
        <v>10543</v>
      </c>
      <c r="B93" s="4">
        <v>44890</v>
      </c>
      <c r="C93" t="s">
        <v>13</v>
      </c>
      <c r="D93" s="5">
        <v>3</v>
      </c>
      <c r="E93" s="6">
        <v>745.76271186440704</v>
      </c>
      <c r="F93" s="3" t="s">
        <v>35</v>
      </c>
      <c r="G93" s="3" t="s">
        <v>21</v>
      </c>
      <c r="H93" t="s">
        <v>37</v>
      </c>
      <c r="I93" t="s">
        <v>12</v>
      </c>
    </row>
    <row r="94" spans="1:9" x14ac:dyDescent="0.25">
      <c r="A94" s="3">
        <v>10544</v>
      </c>
      <c r="B94" s="4">
        <v>44890</v>
      </c>
      <c r="C94" t="s">
        <v>16</v>
      </c>
      <c r="D94" s="5">
        <v>5</v>
      </c>
      <c r="E94" s="6">
        <v>200.40080160320599</v>
      </c>
      <c r="F94" s="3" t="s">
        <v>35</v>
      </c>
      <c r="G94" s="3" t="s">
        <v>21</v>
      </c>
      <c r="H94" t="s">
        <v>37</v>
      </c>
      <c r="I94" t="s">
        <v>12</v>
      </c>
    </row>
    <row r="95" spans="1:9" x14ac:dyDescent="0.25">
      <c r="A95" s="3">
        <v>10545</v>
      </c>
      <c r="B95" s="4">
        <v>44891</v>
      </c>
      <c r="C95" t="s">
        <v>20</v>
      </c>
      <c r="D95" s="5">
        <v>13</v>
      </c>
      <c r="E95" s="6">
        <v>446.49730561970699</v>
      </c>
      <c r="F95" s="3" t="s">
        <v>35</v>
      </c>
      <c r="G95" s="3" t="s">
        <v>21</v>
      </c>
      <c r="H95" t="s">
        <v>37</v>
      </c>
      <c r="I95" t="s">
        <v>12</v>
      </c>
    </row>
    <row r="96" spans="1:9" x14ac:dyDescent="0.25">
      <c r="A96" s="3">
        <v>10546</v>
      </c>
      <c r="B96" s="4">
        <v>44891</v>
      </c>
      <c r="C96" t="s">
        <v>24</v>
      </c>
      <c r="D96" s="5">
        <v>10</v>
      </c>
      <c r="E96" s="6">
        <v>201.00502512562801</v>
      </c>
      <c r="F96" s="3" t="s">
        <v>35</v>
      </c>
      <c r="G96" s="3" t="s">
        <v>21</v>
      </c>
      <c r="H96" t="s">
        <v>37</v>
      </c>
      <c r="I96" t="s">
        <v>12</v>
      </c>
    </row>
    <row r="97" spans="1:9" x14ac:dyDescent="0.25">
      <c r="A97" s="3">
        <v>10547</v>
      </c>
      <c r="B97" s="4">
        <v>44891</v>
      </c>
      <c r="C97" t="s">
        <v>8</v>
      </c>
      <c r="D97" s="5">
        <v>4</v>
      </c>
      <c r="E97" s="6">
        <v>630.37249283667597</v>
      </c>
      <c r="F97" s="3" t="s">
        <v>35</v>
      </c>
      <c r="G97" s="3" t="s">
        <v>21</v>
      </c>
      <c r="H97" t="s">
        <v>37</v>
      </c>
      <c r="I97" t="s">
        <v>12</v>
      </c>
    </row>
    <row r="98" spans="1:9" x14ac:dyDescent="0.25">
      <c r="A98" s="3">
        <v>10548</v>
      </c>
      <c r="B98" s="4">
        <v>44891</v>
      </c>
      <c r="C98" t="s">
        <v>13</v>
      </c>
      <c r="D98" s="5">
        <v>3</v>
      </c>
      <c r="E98" s="6">
        <v>745.76271186440704</v>
      </c>
      <c r="F98" s="3" t="s">
        <v>35</v>
      </c>
      <c r="G98" s="3" t="s">
        <v>21</v>
      </c>
      <c r="H98" t="s">
        <v>37</v>
      </c>
      <c r="I98" t="s">
        <v>12</v>
      </c>
    </row>
    <row r="99" spans="1:9" x14ac:dyDescent="0.25">
      <c r="A99" s="3">
        <v>10549</v>
      </c>
      <c r="B99" s="4">
        <v>44891</v>
      </c>
      <c r="C99" t="s">
        <v>16</v>
      </c>
      <c r="D99" s="5">
        <v>5</v>
      </c>
      <c r="E99" s="6">
        <v>200.40080160320599</v>
      </c>
      <c r="F99" s="3" t="s">
        <v>35</v>
      </c>
      <c r="G99" s="3" t="s">
        <v>21</v>
      </c>
      <c r="H99" t="s">
        <v>37</v>
      </c>
      <c r="I99" t="s">
        <v>12</v>
      </c>
    </row>
    <row r="100" spans="1:9" x14ac:dyDescent="0.25">
      <c r="A100" s="3">
        <v>10550</v>
      </c>
      <c r="B100" s="4">
        <v>44892</v>
      </c>
      <c r="C100" t="s">
        <v>20</v>
      </c>
      <c r="D100" s="5">
        <v>13</v>
      </c>
      <c r="E100" s="6">
        <v>461.89376443418001</v>
      </c>
      <c r="F100" s="3" t="s">
        <v>35</v>
      </c>
      <c r="G100" s="3" t="s">
        <v>21</v>
      </c>
      <c r="H100" t="s">
        <v>37</v>
      </c>
      <c r="I100" t="s">
        <v>12</v>
      </c>
    </row>
    <row r="101" spans="1:9" x14ac:dyDescent="0.25">
      <c r="A101" s="3">
        <v>10551</v>
      </c>
      <c r="B101" s="4">
        <v>44892</v>
      </c>
      <c r="C101" t="s">
        <v>24</v>
      </c>
      <c r="D101" s="5">
        <v>10</v>
      </c>
      <c r="E101" s="6">
        <v>201.00502512562801</v>
      </c>
      <c r="F101" s="3" t="s">
        <v>35</v>
      </c>
      <c r="G101" s="3" t="s">
        <v>21</v>
      </c>
      <c r="H101" t="s">
        <v>37</v>
      </c>
      <c r="I101" t="s">
        <v>12</v>
      </c>
    </row>
    <row r="102" spans="1:9" x14ac:dyDescent="0.25">
      <c r="A102" s="3">
        <v>10552</v>
      </c>
      <c r="B102" s="4">
        <v>44892</v>
      </c>
      <c r="C102" t="s">
        <v>8</v>
      </c>
      <c r="D102" s="5">
        <v>4</v>
      </c>
      <c r="E102" s="6">
        <v>630.37249283667597</v>
      </c>
      <c r="F102" s="3" t="s">
        <v>9</v>
      </c>
      <c r="G102" s="3" t="s">
        <v>21</v>
      </c>
      <c r="H102" t="s">
        <v>37</v>
      </c>
      <c r="I102" t="s">
        <v>12</v>
      </c>
    </row>
    <row r="103" spans="1:9" x14ac:dyDescent="0.25">
      <c r="A103" s="3">
        <v>10553</v>
      </c>
      <c r="B103" s="4">
        <v>44892</v>
      </c>
      <c r="C103" t="s">
        <v>13</v>
      </c>
      <c r="D103" s="5">
        <v>3</v>
      </c>
      <c r="E103" s="6">
        <v>745.76271186440704</v>
      </c>
      <c r="F103" s="3" t="s">
        <v>9</v>
      </c>
      <c r="G103" s="3" t="s">
        <v>21</v>
      </c>
      <c r="H103" t="s">
        <v>37</v>
      </c>
      <c r="I103" t="s">
        <v>12</v>
      </c>
    </row>
    <row r="104" spans="1:9" x14ac:dyDescent="0.25">
      <c r="A104" s="3">
        <v>10554</v>
      </c>
      <c r="B104" s="4">
        <v>44892</v>
      </c>
      <c r="C104" t="s">
        <v>16</v>
      </c>
      <c r="D104" s="5">
        <v>5</v>
      </c>
      <c r="E104" s="6">
        <v>200.40080160320599</v>
      </c>
      <c r="F104" s="3" t="s">
        <v>9</v>
      </c>
      <c r="G104" s="3" t="s">
        <v>21</v>
      </c>
      <c r="H104" t="s">
        <v>37</v>
      </c>
      <c r="I104" t="s">
        <v>12</v>
      </c>
    </row>
    <row r="105" spans="1:9" x14ac:dyDescent="0.25">
      <c r="A105" s="3">
        <v>10555</v>
      </c>
      <c r="B105" s="4">
        <v>44893</v>
      </c>
      <c r="C105" t="s">
        <v>20</v>
      </c>
      <c r="D105" s="5">
        <v>13</v>
      </c>
      <c r="E105" s="6">
        <v>477.29022324865298</v>
      </c>
      <c r="F105" s="3" t="s">
        <v>9</v>
      </c>
      <c r="G105" s="3" t="s">
        <v>21</v>
      </c>
      <c r="H105" t="s">
        <v>37</v>
      </c>
      <c r="I105" t="s">
        <v>12</v>
      </c>
    </row>
    <row r="106" spans="1:9" x14ac:dyDescent="0.25">
      <c r="A106" s="3">
        <v>10556</v>
      </c>
      <c r="B106" s="4">
        <v>44893</v>
      </c>
      <c r="C106" t="s">
        <v>24</v>
      </c>
      <c r="D106" s="5">
        <v>10</v>
      </c>
      <c r="E106" s="6">
        <v>201.00502512562801</v>
      </c>
      <c r="F106" s="3" t="s">
        <v>9</v>
      </c>
      <c r="G106" s="3" t="s">
        <v>21</v>
      </c>
      <c r="H106" t="s">
        <v>37</v>
      </c>
      <c r="I106" t="s">
        <v>12</v>
      </c>
    </row>
    <row r="107" spans="1:9" x14ac:dyDescent="0.25">
      <c r="A107" s="3">
        <v>10557</v>
      </c>
      <c r="B107" s="4">
        <v>44893</v>
      </c>
      <c r="C107" t="s">
        <v>8</v>
      </c>
      <c r="D107" s="5">
        <v>4</v>
      </c>
      <c r="E107" s="6">
        <v>630.37249283667597</v>
      </c>
      <c r="F107" s="3" t="s">
        <v>9</v>
      </c>
      <c r="G107" s="3" t="s">
        <v>21</v>
      </c>
      <c r="H107" t="s">
        <v>37</v>
      </c>
      <c r="I107" t="s">
        <v>12</v>
      </c>
    </row>
    <row r="108" spans="1:9" x14ac:dyDescent="0.25">
      <c r="A108" s="3">
        <v>10558</v>
      </c>
      <c r="B108" s="4">
        <v>44893</v>
      </c>
      <c r="C108" t="s">
        <v>13</v>
      </c>
      <c r="D108" s="5">
        <v>3</v>
      </c>
      <c r="E108" s="6">
        <v>677.96610169491498</v>
      </c>
      <c r="F108" s="3" t="s">
        <v>9</v>
      </c>
      <c r="G108" s="3" t="s">
        <v>21</v>
      </c>
      <c r="H108" t="s">
        <v>37</v>
      </c>
      <c r="I108" t="s">
        <v>12</v>
      </c>
    </row>
    <row r="109" spans="1:9" x14ac:dyDescent="0.25">
      <c r="A109" s="3">
        <v>10559</v>
      </c>
      <c r="B109" s="4">
        <v>44893</v>
      </c>
      <c r="C109" t="s">
        <v>16</v>
      </c>
      <c r="D109" s="5">
        <v>5</v>
      </c>
      <c r="E109" s="6">
        <v>200.40080160320599</v>
      </c>
      <c r="F109" s="3" t="s">
        <v>9</v>
      </c>
      <c r="G109" s="3" t="s">
        <v>21</v>
      </c>
      <c r="H109" t="s">
        <v>37</v>
      </c>
      <c r="I109" t="s">
        <v>12</v>
      </c>
    </row>
    <row r="110" spans="1:9" x14ac:dyDescent="0.25">
      <c r="A110" s="3">
        <v>10560</v>
      </c>
      <c r="B110" s="4">
        <v>44894</v>
      </c>
      <c r="C110" t="s">
        <v>20</v>
      </c>
      <c r="D110" s="5">
        <v>13</v>
      </c>
      <c r="E110" s="6">
        <v>477.29022324865298</v>
      </c>
      <c r="F110" s="3" t="s">
        <v>9</v>
      </c>
      <c r="G110" s="3" t="s">
        <v>21</v>
      </c>
      <c r="H110" t="s">
        <v>37</v>
      </c>
      <c r="I110" t="s">
        <v>12</v>
      </c>
    </row>
    <row r="111" spans="1:9" x14ac:dyDescent="0.25">
      <c r="A111" s="3">
        <v>10561</v>
      </c>
      <c r="B111" s="4">
        <v>44894</v>
      </c>
      <c r="C111" t="s">
        <v>24</v>
      </c>
      <c r="D111" s="5">
        <v>10</v>
      </c>
      <c r="E111" s="6">
        <v>201.00502512562801</v>
      </c>
      <c r="F111" s="3" t="s">
        <v>9</v>
      </c>
      <c r="G111" s="3" t="s">
        <v>21</v>
      </c>
      <c r="H111" t="s">
        <v>37</v>
      </c>
      <c r="I111" t="s">
        <v>12</v>
      </c>
    </row>
    <row r="112" spans="1:9" x14ac:dyDescent="0.25">
      <c r="A112" s="3">
        <v>10562</v>
      </c>
      <c r="B112" s="4">
        <v>44894</v>
      </c>
      <c r="C112" t="s">
        <v>8</v>
      </c>
      <c r="D112" s="5">
        <v>4</v>
      </c>
      <c r="E112" s="6">
        <v>630.37249283667597</v>
      </c>
      <c r="F112" s="3" t="s">
        <v>9</v>
      </c>
      <c r="G112" s="3" t="s">
        <v>21</v>
      </c>
      <c r="H112" t="s">
        <v>37</v>
      </c>
      <c r="I112" t="s">
        <v>12</v>
      </c>
    </row>
    <row r="113" spans="1:9" x14ac:dyDescent="0.25">
      <c r="A113" s="3">
        <v>10563</v>
      </c>
      <c r="B113" s="4">
        <v>44894</v>
      </c>
      <c r="C113" t="s">
        <v>13</v>
      </c>
      <c r="D113" s="5">
        <v>3</v>
      </c>
      <c r="E113" s="6">
        <v>677.96610169491498</v>
      </c>
      <c r="F113" s="3" t="s">
        <v>9</v>
      </c>
      <c r="G113" s="3" t="s">
        <v>21</v>
      </c>
      <c r="H113" t="s">
        <v>37</v>
      </c>
      <c r="I113" t="s">
        <v>12</v>
      </c>
    </row>
    <row r="114" spans="1:9" x14ac:dyDescent="0.25">
      <c r="A114" s="3">
        <v>10564</v>
      </c>
      <c r="B114" s="4">
        <v>44894</v>
      </c>
      <c r="C114" t="s">
        <v>16</v>
      </c>
      <c r="D114" s="5">
        <v>5</v>
      </c>
      <c r="E114" s="6">
        <v>200.40080160320599</v>
      </c>
      <c r="F114" s="3" t="s">
        <v>9</v>
      </c>
      <c r="G114" s="3" t="s">
        <v>21</v>
      </c>
      <c r="H114" t="s">
        <v>37</v>
      </c>
      <c r="I114" t="s">
        <v>12</v>
      </c>
    </row>
    <row r="115" spans="1:9" x14ac:dyDescent="0.25">
      <c r="A115" s="3">
        <v>10565</v>
      </c>
      <c r="B115" s="4">
        <v>44895</v>
      </c>
      <c r="C115" t="s">
        <v>20</v>
      </c>
      <c r="D115" s="5">
        <v>13</v>
      </c>
      <c r="E115" s="6">
        <v>492.68668206312498</v>
      </c>
      <c r="F115" s="3" t="s">
        <v>9</v>
      </c>
      <c r="G115" s="3" t="s">
        <v>21</v>
      </c>
      <c r="H115" t="s">
        <v>37</v>
      </c>
      <c r="I115" t="s">
        <v>12</v>
      </c>
    </row>
    <row r="116" spans="1:9" x14ac:dyDescent="0.25">
      <c r="A116" s="3">
        <v>10566</v>
      </c>
      <c r="B116" s="4">
        <v>44895</v>
      </c>
      <c r="C116" t="s">
        <v>24</v>
      </c>
      <c r="D116" s="5">
        <v>10</v>
      </c>
      <c r="E116" s="6">
        <v>201.00502512562801</v>
      </c>
      <c r="F116" s="3" t="s">
        <v>9</v>
      </c>
      <c r="G116" s="3" t="s">
        <v>21</v>
      </c>
      <c r="H116" t="s">
        <v>37</v>
      </c>
      <c r="I116" t="s">
        <v>12</v>
      </c>
    </row>
    <row r="117" spans="1:9" x14ac:dyDescent="0.25">
      <c r="A117" s="3">
        <v>10567</v>
      </c>
      <c r="B117" s="4">
        <v>44895</v>
      </c>
      <c r="C117" t="s">
        <v>8</v>
      </c>
      <c r="D117" s="5">
        <v>4</v>
      </c>
      <c r="E117" s="6">
        <v>630.37249283667597</v>
      </c>
      <c r="F117" s="3" t="s">
        <v>9</v>
      </c>
      <c r="G117" s="3" t="s">
        <v>21</v>
      </c>
      <c r="H117" t="s">
        <v>37</v>
      </c>
      <c r="I117" t="s">
        <v>12</v>
      </c>
    </row>
    <row r="118" spans="1:9" x14ac:dyDescent="0.25">
      <c r="A118" s="3">
        <v>10568</v>
      </c>
      <c r="B118" s="4">
        <v>44895</v>
      </c>
      <c r="C118" t="s">
        <v>13</v>
      </c>
      <c r="D118" s="5">
        <v>3</v>
      </c>
      <c r="E118" s="6">
        <v>677.96610169491498</v>
      </c>
      <c r="F118" s="3" t="s">
        <v>9</v>
      </c>
      <c r="G118" s="3" t="s">
        <v>21</v>
      </c>
      <c r="H118" t="s">
        <v>37</v>
      </c>
      <c r="I118" t="s">
        <v>12</v>
      </c>
    </row>
    <row r="119" spans="1:9" x14ac:dyDescent="0.25">
      <c r="A119" s="3">
        <v>10569</v>
      </c>
      <c r="B119" s="4">
        <v>44895</v>
      </c>
      <c r="C119" t="s">
        <v>16</v>
      </c>
      <c r="D119" s="5">
        <v>5</v>
      </c>
      <c r="E119" s="6">
        <v>200.40080160320599</v>
      </c>
      <c r="F119" s="3" t="s">
        <v>9</v>
      </c>
      <c r="G119" s="3" t="s">
        <v>21</v>
      </c>
      <c r="H119" t="s">
        <v>37</v>
      </c>
      <c r="I119" t="s">
        <v>12</v>
      </c>
    </row>
    <row r="120" spans="1:9" x14ac:dyDescent="0.25">
      <c r="A120" s="3">
        <v>10570</v>
      </c>
      <c r="B120" s="4">
        <v>44896</v>
      </c>
      <c r="C120" t="s">
        <v>20</v>
      </c>
      <c r="D120" s="5">
        <v>13</v>
      </c>
      <c r="E120" s="6">
        <v>492.68668206312498</v>
      </c>
      <c r="F120" s="3" t="s">
        <v>9</v>
      </c>
      <c r="G120" s="3" t="s">
        <v>21</v>
      </c>
      <c r="H120" t="s">
        <v>37</v>
      </c>
      <c r="I120" t="s">
        <v>12</v>
      </c>
    </row>
    <row r="121" spans="1:9" x14ac:dyDescent="0.25">
      <c r="A121" s="3">
        <v>10571</v>
      </c>
      <c r="B121" s="4">
        <v>44896</v>
      </c>
      <c r="C121" t="s">
        <v>24</v>
      </c>
      <c r="D121" s="5">
        <v>10</v>
      </c>
      <c r="E121" s="6">
        <v>201.00502512562801</v>
      </c>
      <c r="F121" s="3" t="s">
        <v>9</v>
      </c>
      <c r="G121" s="3" t="s">
        <v>21</v>
      </c>
      <c r="H121" t="s">
        <v>37</v>
      </c>
      <c r="I121" t="s">
        <v>12</v>
      </c>
    </row>
    <row r="122" spans="1:9" x14ac:dyDescent="0.25">
      <c r="A122" s="3">
        <v>10572</v>
      </c>
      <c r="B122" s="4">
        <v>44896</v>
      </c>
      <c r="C122" t="s">
        <v>8</v>
      </c>
      <c r="D122" s="5">
        <v>4</v>
      </c>
      <c r="E122" s="6">
        <v>573.065902578796</v>
      </c>
      <c r="F122" s="3" t="s">
        <v>9</v>
      </c>
      <c r="G122" s="3" t="s">
        <v>21</v>
      </c>
      <c r="H122" t="s">
        <v>27</v>
      </c>
      <c r="I122" t="s">
        <v>26</v>
      </c>
    </row>
    <row r="123" spans="1:9" x14ac:dyDescent="0.25">
      <c r="A123" s="3">
        <v>10573</v>
      </c>
      <c r="B123" s="4">
        <v>44896</v>
      </c>
      <c r="C123" t="s">
        <v>13</v>
      </c>
      <c r="D123" s="5">
        <v>3</v>
      </c>
      <c r="E123" s="6">
        <v>677.96610169491498</v>
      </c>
      <c r="F123" s="3" t="s">
        <v>9</v>
      </c>
      <c r="G123" s="3" t="s">
        <v>21</v>
      </c>
      <c r="H123" t="s">
        <v>27</v>
      </c>
      <c r="I123" t="s">
        <v>26</v>
      </c>
    </row>
    <row r="124" spans="1:9" x14ac:dyDescent="0.25">
      <c r="A124" s="3">
        <v>10574</v>
      </c>
      <c r="B124" s="4">
        <v>44896</v>
      </c>
      <c r="C124" t="s">
        <v>16</v>
      </c>
      <c r="D124" s="5">
        <v>5</v>
      </c>
      <c r="E124" s="6">
        <v>200.40080160320599</v>
      </c>
      <c r="F124" s="3" t="s">
        <v>9</v>
      </c>
      <c r="G124" s="3" t="s">
        <v>21</v>
      </c>
      <c r="H124" t="s">
        <v>27</v>
      </c>
      <c r="I124" t="s">
        <v>26</v>
      </c>
    </row>
    <row r="125" spans="1:9" x14ac:dyDescent="0.25">
      <c r="A125" s="3">
        <v>10575</v>
      </c>
      <c r="B125" s="4">
        <v>44897</v>
      </c>
      <c r="C125" t="s">
        <v>20</v>
      </c>
      <c r="D125" s="5">
        <v>13</v>
      </c>
      <c r="E125" s="6">
        <v>523.47959969207102</v>
      </c>
      <c r="F125" s="3" t="s">
        <v>9</v>
      </c>
      <c r="G125" s="3" t="s">
        <v>21</v>
      </c>
      <c r="H125" t="s">
        <v>27</v>
      </c>
      <c r="I125" t="s">
        <v>26</v>
      </c>
    </row>
    <row r="126" spans="1:9" x14ac:dyDescent="0.25">
      <c r="A126" s="3">
        <v>10576</v>
      </c>
      <c r="B126" s="4">
        <v>44897</v>
      </c>
      <c r="C126" t="s">
        <v>24</v>
      </c>
      <c r="D126" s="5">
        <v>10</v>
      </c>
      <c r="E126" s="6">
        <v>201.00502512562801</v>
      </c>
      <c r="F126" s="3" t="s">
        <v>9</v>
      </c>
      <c r="G126" s="3" t="s">
        <v>21</v>
      </c>
      <c r="H126" t="s">
        <v>27</v>
      </c>
      <c r="I126" t="s">
        <v>26</v>
      </c>
    </row>
    <row r="127" spans="1:9" x14ac:dyDescent="0.25">
      <c r="A127" s="3">
        <v>10577</v>
      </c>
      <c r="B127" s="4">
        <v>44897</v>
      </c>
      <c r="C127" t="s">
        <v>8</v>
      </c>
      <c r="D127" s="5">
        <v>4</v>
      </c>
      <c r="E127" s="6">
        <v>630.37249283667597</v>
      </c>
      <c r="F127" s="3" t="s">
        <v>9</v>
      </c>
      <c r="G127" s="3" t="s">
        <v>21</v>
      </c>
      <c r="H127" t="s">
        <v>27</v>
      </c>
      <c r="I127" t="s">
        <v>26</v>
      </c>
    </row>
    <row r="128" spans="1:9" x14ac:dyDescent="0.25">
      <c r="A128" s="3">
        <v>10578</v>
      </c>
      <c r="B128" s="4">
        <v>44897</v>
      </c>
      <c r="C128" t="s">
        <v>13</v>
      </c>
      <c r="D128" s="5">
        <v>3</v>
      </c>
      <c r="E128" s="6">
        <v>677.96610169491498</v>
      </c>
      <c r="F128" s="3" t="s">
        <v>9</v>
      </c>
      <c r="G128" s="3" t="s">
        <v>21</v>
      </c>
      <c r="H128" t="s">
        <v>27</v>
      </c>
      <c r="I128" t="s">
        <v>26</v>
      </c>
    </row>
    <row r="129" spans="1:9" x14ac:dyDescent="0.25">
      <c r="A129" s="3">
        <v>10579</v>
      </c>
      <c r="B129" s="4">
        <v>44897</v>
      </c>
      <c r="C129" t="s">
        <v>16</v>
      </c>
      <c r="D129" s="5">
        <v>5</v>
      </c>
      <c r="E129" s="6">
        <v>200.40080160320599</v>
      </c>
      <c r="F129" s="3" t="s">
        <v>9</v>
      </c>
      <c r="G129" s="3" t="s">
        <v>21</v>
      </c>
      <c r="H129" t="s">
        <v>27</v>
      </c>
      <c r="I129" t="s">
        <v>26</v>
      </c>
    </row>
    <row r="130" spans="1:9" x14ac:dyDescent="0.25">
      <c r="A130" s="3">
        <v>10580</v>
      </c>
      <c r="B130" s="4">
        <v>44898</v>
      </c>
      <c r="C130" t="s">
        <v>20</v>
      </c>
      <c r="D130" s="5">
        <v>13</v>
      </c>
      <c r="E130" s="6">
        <v>523.47959969207102</v>
      </c>
      <c r="F130" s="3" t="s">
        <v>9</v>
      </c>
      <c r="G130" s="3" t="s">
        <v>21</v>
      </c>
      <c r="H130" t="s">
        <v>27</v>
      </c>
      <c r="I130" t="s">
        <v>26</v>
      </c>
    </row>
    <row r="131" spans="1:9" x14ac:dyDescent="0.25">
      <c r="A131" s="3">
        <v>10581</v>
      </c>
      <c r="B131" s="4">
        <v>44898</v>
      </c>
      <c r="C131" t="s">
        <v>24</v>
      </c>
      <c r="D131" s="5">
        <v>10</v>
      </c>
      <c r="E131" s="6">
        <v>201.00502512562801</v>
      </c>
      <c r="F131" s="3" t="s">
        <v>9</v>
      </c>
      <c r="G131" s="3" t="s">
        <v>21</v>
      </c>
      <c r="H131" t="s">
        <v>27</v>
      </c>
      <c r="I131" t="s">
        <v>26</v>
      </c>
    </row>
    <row r="132" spans="1:9" x14ac:dyDescent="0.25">
      <c r="A132" s="3">
        <v>10582</v>
      </c>
      <c r="B132" s="4">
        <v>44898</v>
      </c>
      <c r="C132" t="s">
        <v>8</v>
      </c>
      <c r="D132" s="5">
        <v>4</v>
      </c>
      <c r="E132" s="6">
        <v>630.37249283667597</v>
      </c>
      <c r="F132" s="3" t="s">
        <v>9</v>
      </c>
      <c r="G132" s="3" t="s">
        <v>21</v>
      </c>
      <c r="H132" t="s">
        <v>37</v>
      </c>
      <c r="I132" t="s">
        <v>12</v>
      </c>
    </row>
    <row r="133" spans="1:9" x14ac:dyDescent="0.25">
      <c r="A133" s="3">
        <v>10583</v>
      </c>
      <c r="B133" s="4">
        <v>44898</v>
      </c>
      <c r="C133" t="s">
        <v>13</v>
      </c>
      <c r="D133" s="5">
        <v>3</v>
      </c>
      <c r="E133" s="6">
        <v>677.96610169491498</v>
      </c>
      <c r="F133" s="3" t="s">
        <v>9</v>
      </c>
      <c r="G133" s="3" t="s">
        <v>21</v>
      </c>
      <c r="H133" t="s">
        <v>37</v>
      </c>
      <c r="I133" t="s">
        <v>12</v>
      </c>
    </row>
    <row r="134" spans="1:9" x14ac:dyDescent="0.25">
      <c r="A134" s="3">
        <v>10584</v>
      </c>
      <c r="B134" s="4">
        <v>44898</v>
      </c>
      <c r="C134" t="s">
        <v>16</v>
      </c>
      <c r="D134" s="5">
        <v>5</v>
      </c>
      <c r="E134" s="6">
        <v>200.40080160320599</v>
      </c>
      <c r="F134" s="3" t="s">
        <v>9</v>
      </c>
      <c r="G134" s="3" t="s">
        <v>21</v>
      </c>
      <c r="H134" t="s">
        <v>37</v>
      </c>
      <c r="I134" t="s">
        <v>12</v>
      </c>
    </row>
    <row r="135" spans="1:9" x14ac:dyDescent="0.25">
      <c r="A135" s="3">
        <v>10585</v>
      </c>
      <c r="B135" s="4">
        <v>44899</v>
      </c>
      <c r="C135" t="s">
        <v>20</v>
      </c>
      <c r="D135" s="5">
        <v>13</v>
      </c>
      <c r="E135" s="6">
        <v>538.87605850654302</v>
      </c>
      <c r="F135" s="3" t="s">
        <v>9</v>
      </c>
      <c r="G135" s="3" t="s">
        <v>21</v>
      </c>
      <c r="H135" t="s">
        <v>37</v>
      </c>
      <c r="I135" t="s">
        <v>12</v>
      </c>
    </row>
    <row r="136" spans="1:9" x14ac:dyDescent="0.25">
      <c r="A136" s="3">
        <v>10586</v>
      </c>
      <c r="B136" s="4">
        <v>44899</v>
      </c>
      <c r="C136" t="s">
        <v>24</v>
      </c>
      <c r="D136" s="5">
        <v>10</v>
      </c>
      <c r="E136" s="6">
        <v>201.00502512562801</v>
      </c>
      <c r="F136" s="3" t="s">
        <v>9</v>
      </c>
      <c r="G136" s="3" t="s">
        <v>21</v>
      </c>
      <c r="H136" t="s">
        <v>37</v>
      </c>
      <c r="I136" t="s">
        <v>12</v>
      </c>
    </row>
    <row r="137" spans="1:9" x14ac:dyDescent="0.25">
      <c r="A137" s="3">
        <v>10537</v>
      </c>
      <c r="B137" s="4">
        <v>44889</v>
      </c>
      <c r="C137" t="s">
        <v>8</v>
      </c>
      <c r="D137" s="5">
        <v>4</v>
      </c>
      <c r="E137" s="6">
        <v>630.37249283667597</v>
      </c>
      <c r="F137" s="3" t="s">
        <v>35</v>
      </c>
      <c r="G137" s="3" t="s">
        <v>21</v>
      </c>
      <c r="H137" t="s">
        <v>30</v>
      </c>
      <c r="I137" t="s">
        <v>15</v>
      </c>
    </row>
    <row r="138" spans="1:9" x14ac:dyDescent="0.25">
      <c r="A138" s="3">
        <v>10538</v>
      </c>
      <c r="B138" s="4">
        <v>44889</v>
      </c>
      <c r="C138" t="s">
        <v>13</v>
      </c>
      <c r="D138" s="5">
        <v>3</v>
      </c>
      <c r="E138" s="6">
        <v>745.76271186440704</v>
      </c>
      <c r="F138" s="3" t="s">
        <v>35</v>
      </c>
      <c r="G138" s="3" t="s">
        <v>21</v>
      </c>
      <c r="H138" t="s">
        <v>30</v>
      </c>
      <c r="I138" t="s">
        <v>15</v>
      </c>
    </row>
    <row r="139" spans="1:9" x14ac:dyDescent="0.25">
      <c r="A139" s="3">
        <v>10539</v>
      </c>
      <c r="B139" s="4">
        <v>44889</v>
      </c>
      <c r="C139" t="s">
        <v>16</v>
      </c>
      <c r="D139" s="5">
        <v>5</v>
      </c>
      <c r="E139" s="6">
        <v>200.40080160320599</v>
      </c>
      <c r="F139" s="3" t="s">
        <v>35</v>
      </c>
      <c r="G139" s="3" t="s">
        <v>21</v>
      </c>
      <c r="H139" t="s">
        <v>30</v>
      </c>
      <c r="I139" t="s">
        <v>15</v>
      </c>
    </row>
    <row r="140" spans="1:9" x14ac:dyDescent="0.25">
      <c r="A140" s="3">
        <v>10590</v>
      </c>
      <c r="B140" s="4">
        <v>44900</v>
      </c>
      <c r="C140" t="s">
        <v>20</v>
      </c>
      <c r="D140" s="5">
        <v>13</v>
      </c>
      <c r="E140" s="6">
        <v>554.27251732101604</v>
      </c>
      <c r="F140" s="3" t="s">
        <v>9</v>
      </c>
      <c r="G140" s="3" t="s">
        <v>21</v>
      </c>
      <c r="H140" t="s">
        <v>37</v>
      </c>
      <c r="I140" t="s">
        <v>12</v>
      </c>
    </row>
    <row r="141" spans="1:9" x14ac:dyDescent="0.25">
      <c r="A141" s="3">
        <v>10591</v>
      </c>
      <c r="B141" s="4">
        <v>44900</v>
      </c>
      <c r="C141" t="s">
        <v>24</v>
      </c>
      <c r="D141" s="5">
        <v>10</v>
      </c>
      <c r="E141" s="6">
        <v>201.00502512562801</v>
      </c>
      <c r="F141" s="3" t="s">
        <v>9</v>
      </c>
      <c r="G141" s="3" t="s">
        <v>21</v>
      </c>
      <c r="H141" t="s">
        <v>37</v>
      </c>
      <c r="I141" t="s">
        <v>12</v>
      </c>
    </row>
    <row r="142" spans="1:9" x14ac:dyDescent="0.25">
      <c r="A142" s="3">
        <v>10592</v>
      </c>
      <c r="B142" s="4">
        <v>44900</v>
      </c>
      <c r="C142" t="s">
        <v>8</v>
      </c>
      <c r="D142" s="5">
        <v>4</v>
      </c>
      <c r="E142" s="6">
        <v>573.065902578796</v>
      </c>
      <c r="F142" s="3" t="s">
        <v>9</v>
      </c>
      <c r="G142" s="3" t="s">
        <v>21</v>
      </c>
      <c r="H142" t="s">
        <v>37</v>
      </c>
      <c r="I142" t="s">
        <v>12</v>
      </c>
    </row>
    <row r="143" spans="1:9" x14ac:dyDescent="0.25">
      <c r="A143" s="3">
        <v>10593</v>
      </c>
      <c r="B143" s="4">
        <v>44900</v>
      </c>
      <c r="C143" t="s">
        <v>13</v>
      </c>
      <c r="D143" s="5">
        <v>3</v>
      </c>
      <c r="E143" s="6">
        <v>677.96610169491498</v>
      </c>
      <c r="F143" s="3" t="s">
        <v>9</v>
      </c>
      <c r="G143" s="3" t="s">
        <v>21</v>
      </c>
      <c r="H143" t="s">
        <v>37</v>
      </c>
      <c r="I143" t="s">
        <v>12</v>
      </c>
    </row>
    <row r="144" spans="1:9" x14ac:dyDescent="0.25">
      <c r="A144" s="3">
        <v>10594</v>
      </c>
      <c r="B144" s="4">
        <v>44900</v>
      </c>
      <c r="C144" t="s">
        <v>16</v>
      </c>
      <c r="D144" s="5">
        <v>5</v>
      </c>
      <c r="E144" s="6">
        <v>200.40080160320599</v>
      </c>
      <c r="F144" s="3" t="s">
        <v>9</v>
      </c>
      <c r="G144" s="3" t="s">
        <v>21</v>
      </c>
      <c r="H144" t="s">
        <v>37</v>
      </c>
      <c r="I144" t="s">
        <v>12</v>
      </c>
    </row>
    <row r="145" spans="1:9" x14ac:dyDescent="0.25">
      <c r="A145" s="3">
        <v>10595</v>
      </c>
      <c r="B145" s="4">
        <v>44901</v>
      </c>
      <c r="C145" t="s">
        <v>20</v>
      </c>
      <c r="D145" s="5">
        <v>13</v>
      </c>
      <c r="E145" s="6">
        <v>538.87605850654302</v>
      </c>
      <c r="F145" s="3" t="s">
        <v>9</v>
      </c>
      <c r="G145" s="3" t="s">
        <v>21</v>
      </c>
      <c r="H145" t="s">
        <v>37</v>
      </c>
      <c r="I145" t="s">
        <v>12</v>
      </c>
    </row>
    <row r="146" spans="1:9" x14ac:dyDescent="0.25">
      <c r="A146" s="3">
        <v>10596</v>
      </c>
      <c r="B146" s="4">
        <v>44901</v>
      </c>
      <c r="C146" t="s">
        <v>24</v>
      </c>
      <c r="D146" s="5">
        <v>10</v>
      </c>
      <c r="E146" s="6">
        <v>201.00502512562801</v>
      </c>
      <c r="F146" s="3" t="s">
        <v>9</v>
      </c>
      <c r="G146" s="3" t="s">
        <v>21</v>
      </c>
      <c r="H146" t="s">
        <v>37</v>
      </c>
      <c r="I146" t="s">
        <v>12</v>
      </c>
    </row>
    <row r="147" spans="1:9" x14ac:dyDescent="0.25">
      <c r="A147" s="3">
        <v>10597</v>
      </c>
      <c r="B147" s="4">
        <v>44901</v>
      </c>
      <c r="C147" t="s">
        <v>8</v>
      </c>
      <c r="D147" s="5">
        <v>4</v>
      </c>
      <c r="E147" s="6">
        <v>573.065902578796</v>
      </c>
      <c r="F147" s="3" t="s">
        <v>9</v>
      </c>
      <c r="G147" s="3" t="s">
        <v>21</v>
      </c>
      <c r="H147" t="s">
        <v>37</v>
      </c>
      <c r="I147" t="s">
        <v>12</v>
      </c>
    </row>
    <row r="148" spans="1:9" x14ac:dyDescent="0.25">
      <c r="A148" s="3">
        <v>10598</v>
      </c>
      <c r="B148" s="4">
        <v>44901</v>
      </c>
      <c r="C148" t="s">
        <v>13</v>
      </c>
      <c r="D148" s="5">
        <v>3</v>
      </c>
      <c r="E148" s="6">
        <v>677.96610169491498</v>
      </c>
      <c r="F148" s="3" t="s">
        <v>9</v>
      </c>
      <c r="G148" s="3" t="s">
        <v>21</v>
      </c>
      <c r="H148" t="s">
        <v>37</v>
      </c>
      <c r="I148" t="s">
        <v>12</v>
      </c>
    </row>
    <row r="149" spans="1:9" x14ac:dyDescent="0.25">
      <c r="A149" s="3">
        <v>10599</v>
      </c>
      <c r="B149" s="4">
        <v>44901</v>
      </c>
      <c r="C149" t="s">
        <v>16</v>
      </c>
      <c r="D149" s="5">
        <v>5</v>
      </c>
      <c r="E149" s="6">
        <v>200.40080160320599</v>
      </c>
      <c r="F149" s="3" t="s">
        <v>9</v>
      </c>
      <c r="G149" s="3" t="s">
        <v>21</v>
      </c>
      <c r="H149" t="s">
        <v>37</v>
      </c>
      <c r="I149" t="s">
        <v>12</v>
      </c>
    </row>
    <row r="150" spans="1:9" x14ac:dyDescent="0.25">
      <c r="A150" s="3">
        <v>10600</v>
      </c>
      <c r="B150" s="4">
        <v>44902</v>
      </c>
      <c r="C150" t="s">
        <v>20</v>
      </c>
      <c r="D150" s="5">
        <v>13</v>
      </c>
      <c r="E150" s="6">
        <v>523.47959969207102</v>
      </c>
      <c r="F150" s="3" t="s">
        <v>9</v>
      </c>
      <c r="G150" s="3" t="s">
        <v>21</v>
      </c>
      <c r="H150" t="s">
        <v>37</v>
      </c>
      <c r="I150" t="s">
        <v>12</v>
      </c>
    </row>
    <row r="151" spans="1:9" x14ac:dyDescent="0.25">
      <c r="A151" s="3">
        <v>10601</v>
      </c>
      <c r="B151" s="4">
        <v>44902</v>
      </c>
      <c r="C151" t="s">
        <v>24</v>
      </c>
      <c r="D151" s="5">
        <v>10</v>
      </c>
      <c r="E151" s="6">
        <v>201.00502512562801</v>
      </c>
      <c r="F151" s="3" t="s">
        <v>9</v>
      </c>
      <c r="G151" s="3" t="s">
        <v>21</v>
      </c>
      <c r="H151" t="s">
        <v>37</v>
      </c>
      <c r="I151" t="s">
        <v>12</v>
      </c>
    </row>
    <row r="152" spans="1:9" x14ac:dyDescent="0.25">
      <c r="A152" s="3">
        <v>10602</v>
      </c>
      <c r="B152" s="4">
        <v>44902</v>
      </c>
      <c r="C152" t="s">
        <v>8</v>
      </c>
      <c r="D152" s="5">
        <v>4</v>
      </c>
      <c r="E152" s="6">
        <v>630.37249283667597</v>
      </c>
      <c r="F152" s="3" t="s">
        <v>9</v>
      </c>
      <c r="G152" s="3" t="s">
        <v>36</v>
      </c>
      <c r="H152" t="s">
        <v>37</v>
      </c>
      <c r="I152" t="s">
        <v>12</v>
      </c>
    </row>
    <row r="153" spans="1:9" x14ac:dyDescent="0.25">
      <c r="A153" s="3">
        <v>10603</v>
      </c>
      <c r="B153" s="4">
        <v>44902</v>
      </c>
      <c r="C153" t="s">
        <v>13</v>
      </c>
      <c r="D153" s="5">
        <v>3</v>
      </c>
      <c r="E153" s="6">
        <v>677.96610169491498</v>
      </c>
      <c r="F153" s="3" t="s">
        <v>9</v>
      </c>
      <c r="G153" s="3" t="s">
        <v>36</v>
      </c>
      <c r="H153" t="s">
        <v>37</v>
      </c>
      <c r="I153" t="s">
        <v>12</v>
      </c>
    </row>
    <row r="154" spans="1:9" x14ac:dyDescent="0.25">
      <c r="A154" s="3">
        <v>10604</v>
      </c>
      <c r="B154" s="4">
        <v>44902</v>
      </c>
      <c r="C154" t="s">
        <v>16</v>
      </c>
      <c r="D154" s="5">
        <v>5</v>
      </c>
      <c r="E154" s="6">
        <v>200.40080160320599</v>
      </c>
      <c r="F154" s="3" t="s">
        <v>9</v>
      </c>
      <c r="G154" s="3" t="s">
        <v>36</v>
      </c>
      <c r="H154" t="s">
        <v>37</v>
      </c>
      <c r="I154" t="s">
        <v>12</v>
      </c>
    </row>
    <row r="155" spans="1:9" x14ac:dyDescent="0.25">
      <c r="A155" s="3">
        <v>10605</v>
      </c>
      <c r="B155" s="4">
        <v>44903</v>
      </c>
      <c r="C155" t="s">
        <v>20</v>
      </c>
      <c r="D155" s="5">
        <v>13</v>
      </c>
      <c r="E155" s="6">
        <v>538.87605850654302</v>
      </c>
      <c r="F155" s="3" t="s">
        <v>9</v>
      </c>
      <c r="G155" s="3" t="s">
        <v>36</v>
      </c>
      <c r="H155" t="s">
        <v>37</v>
      </c>
      <c r="I155" t="s">
        <v>12</v>
      </c>
    </row>
    <row r="156" spans="1:9" x14ac:dyDescent="0.25">
      <c r="A156" s="3">
        <v>10606</v>
      </c>
      <c r="B156" s="4">
        <v>44903</v>
      </c>
      <c r="C156" t="s">
        <v>24</v>
      </c>
      <c r="D156" s="5">
        <v>10</v>
      </c>
      <c r="E156" s="6">
        <v>201.00502512562801</v>
      </c>
      <c r="F156" s="3" t="s">
        <v>9</v>
      </c>
      <c r="G156" s="3" t="s">
        <v>36</v>
      </c>
      <c r="H156" t="s">
        <v>37</v>
      </c>
      <c r="I156" t="s">
        <v>12</v>
      </c>
    </row>
    <row r="157" spans="1:9" x14ac:dyDescent="0.25">
      <c r="A157" s="3">
        <v>10607</v>
      </c>
      <c r="B157" s="4">
        <v>44903</v>
      </c>
      <c r="C157" t="s">
        <v>8</v>
      </c>
      <c r="D157" s="5">
        <v>4</v>
      </c>
      <c r="E157" s="6">
        <v>630.37249283667597</v>
      </c>
      <c r="F157" s="3" t="s">
        <v>9</v>
      </c>
      <c r="G157" s="3" t="s">
        <v>36</v>
      </c>
      <c r="H157" t="s">
        <v>37</v>
      </c>
      <c r="I157" t="s">
        <v>12</v>
      </c>
    </row>
    <row r="158" spans="1:9" x14ac:dyDescent="0.25">
      <c r="A158" s="3">
        <v>10608</v>
      </c>
      <c r="B158" s="4">
        <v>44903</v>
      </c>
      <c r="C158" t="s">
        <v>13</v>
      </c>
      <c r="D158" s="5">
        <v>3</v>
      </c>
      <c r="E158" s="6">
        <v>677.96610169491498</v>
      </c>
      <c r="F158" s="3" t="s">
        <v>9</v>
      </c>
      <c r="G158" s="3" t="s">
        <v>10</v>
      </c>
      <c r="H158" t="s">
        <v>37</v>
      </c>
      <c r="I158" t="s">
        <v>12</v>
      </c>
    </row>
    <row r="159" spans="1:9" x14ac:dyDescent="0.25">
      <c r="A159" s="3">
        <v>10609</v>
      </c>
      <c r="B159" s="4">
        <v>44903</v>
      </c>
      <c r="C159" t="s">
        <v>16</v>
      </c>
      <c r="D159" s="5">
        <v>5</v>
      </c>
      <c r="E159" s="6">
        <v>200.40080160320599</v>
      </c>
      <c r="F159" s="3" t="s">
        <v>9</v>
      </c>
      <c r="G159" s="3" t="s">
        <v>10</v>
      </c>
      <c r="H159" t="s">
        <v>37</v>
      </c>
      <c r="I159" t="s">
        <v>12</v>
      </c>
    </row>
    <row r="160" spans="1:9" x14ac:dyDescent="0.25">
      <c r="A160" s="3">
        <v>10610</v>
      </c>
      <c r="B160" s="4">
        <v>44904</v>
      </c>
      <c r="C160" t="s">
        <v>20</v>
      </c>
      <c r="D160" s="5">
        <v>13</v>
      </c>
      <c r="E160" s="6">
        <v>569.66897613548895</v>
      </c>
      <c r="F160" s="3" t="s">
        <v>9</v>
      </c>
      <c r="G160" s="3" t="s">
        <v>10</v>
      </c>
      <c r="H160" t="s">
        <v>37</v>
      </c>
      <c r="I160" t="s">
        <v>12</v>
      </c>
    </row>
    <row r="161" spans="1:9" x14ac:dyDescent="0.25">
      <c r="A161" s="3">
        <v>10611</v>
      </c>
      <c r="B161" s="4">
        <v>44904</v>
      </c>
      <c r="C161" t="s">
        <v>24</v>
      </c>
      <c r="D161" s="5">
        <v>10</v>
      </c>
      <c r="E161" s="6">
        <v>201.00502512562801</v>
      </c>
      <c r="F161" s="3" t="s">
        <v>9</v>
      </c>
      <c r="G161" s="3" t="s">
        <v>10</v>
      </c>
      <c r="H161" t="s">
        <v>37</v>
      </c>
      <c r="I161" t="s">
        <v>12</v>
      </c>
    </row>
    <row r="162" spans="1:9" x14ac:dyDescent="0.25">
      <c r="A162" s="3">
        <v>10612</v>
      </c>
      <c r="B162" s="4">
        <v>44904</v>
      </c>
      <c r="C162" t="s">
        <v>8</v>
      </c>
      <c r="D162" s="5">
        <v>4</v>
      </c>
      <c r="E162" s="6">
        <v>630.37249283667597</v>
      </c>
      <c r="F162" s="3" t="s">
        <v>9</v>
      </c>
      <c r="G162" s="3" t="s">
        <v>10</v>
      </c>
      <c r="H162" t="s">
        <v>37</v>
      </c>
      <c r="I162" t="s">
        <v>12</v>
      </c>
    </row>
    <row r="163" spans="1:9" x14ac:dyDescent="0.25">
      <c r="A163" s="3">
        <v>10613</v>
      </c>
      <c r="B163" s="4">
        <v>44904</v>
      </c>
      <c r="C163" t="s">
        <v>13</v>
      </c>
      <c r="D163" s="5">
        <v>3</v>
      </c>
      <c r="E163" s="6">
        <v>677.96610169491498</v>
      </c>
      <c r="F163" s="3" t="s">
        <v>9</v>
      </c>
      <c r="G163" s="3" t="s">
        <v>10</v>
      </c>
      <c r="H163" t="s">
        <v>37</v>
      </c>
      <c r="I163" t="s">
        <v>12</v>
      </c>
    </row>
    <row r="164" spans="1:9" x14ac:dyDescent="0.25">
      <c r="A164" s="3">
        <v>10614</v>
      </c>
      <c r="B164" s="4">
        <v>44904</v>
      </c>
      <c r="C164" t="s">
        <v>16</v>
      </c>
      <c r="D164" s="5">
        <v>5</v>
      </c>
      <c r="E164" s="6">
        <v>200.40080160320599</v>
      </c>
      <c r="F164" s="3" t="s">
        <v>9</v>
      </c>
      <c r="G164" s="3" t="s">
        <v>10</v>
      </c>
      <c r="H164" t="s">
        <v>37</v>
      </c>
      <c r="I164" t="s">
        <v>12</v>
      </c>
    </row>
    <row r="165" spans="1:9" x14ac:dyDescent="0.25">
      <c r="A165" s="3">
        <v>10615</v>
      </c>
      <c r="B165" s="4">
        <v>44905</v>
      </c>
      <c r="C165" t="s">
        <v>20</v>
      </c>
      <c r="D165" s="5">
        <v>13</v>
      </c>
      <c r="E165" s="6">
        <v>569.66897613548895</v>
      </c>
      <c r="F165" s="3" t="s">
        <v>9</v>
      </c>
      <c r="G165" s="3" t="s">
        <v>10</v>
      </c>
      <c r="H165" t="s">
        <v>37</v>
      </c>
      <c r="I165" t="s">
        <v>12</v>
      </c>
    </row>
    <row r="166" spans="1:9" x14ac:dyDescent="0.25">
      <c r="A166" s="3">
        <v>10616</v>
      </c>
      <c r="B166" s="4">
        <v>44905</v>
      </c>
      <c r="C166" t="s">
        <v>24</v>
      </c>
      <c r="D166" s="5">
        <v>10</v>
      </c>
      <c r="E166" s="6">
        <v>201.00502512562801</v>
      </c>
      <c r="F166" s="3" t="s">
        <v>9</v>
      </c>
      <c r="G166" s="3" t="s">
        <v>10</v>
      </c>
      <c r="H166" t="s">
        <v>37</v>
      </c>
      <c r="I166" t="s">
        <v>12</v>
      </c>
    </row>
    <row r="167" spans="1:9" x14ac:dyDescent="0.25">
      <c r="A167" s="3">
        <v>10617</v>
      </c>
      <c r="B167" s="4">
        <v>44905</v>
      </c>
      <c r="C167" t="s">
        <v>8</v>
      </c>
      <c r="D167" s="5">
        <v>4</v>
      </c>
      <c r="E167" s="6">
        <v>630.37249283667597</v>
      </c>
      <c r="F167" s="3" t="s">
        <v>9</v>
      </c>
      <c r="G167" s="3" t="s">
        <v>10</v>
      </c>
      <c r="H167" t="s">
        <v>37</v>
      </c>
      <c r="I167" t="s">
        <v>12</v>
      </c>
    </row>
    <row r="168" spans="1:9" x14ac:dyDescent="0.25">
      <c r="A168" s="3">
        <v>10618</v>
      </c>
      <c r="B168" s="4">
        <v>44905</v>
      </c>
      <c r="C168" t="s">
        <v>13</v>
      </c>
      <c r="D168" s="5">
        <v>3</v>
      </c>
      <c r="E168" s="6">
        <v>677.96610169491498</v>
      </c>
      <c r="F168" s="3" t="s">
        <v>9</v>
      </c>
      <c r="G168" s="3" t="s">
        <v>10</v>
      </c>
      <c r="H168" t="s">
        <v>37</v>
      </c>
      <c r="I168" t="s">
        <v>12</v>
      </c>
    </row>
    <row r="169" spans="1:9" x14ac:dyDescent="0.25">
      <c r="A169" s="3">
        <v>10619</v>
      </c>
      <c r="B169" s="4">
        <v>44905</v>
      </c>
      <c r="C169" t="s">
        <v>16</v>
      </c>
      <c r="D169" s="5">
        <v>5</v>
      </c>
      <c r="E169" s="6">
        <v>200.40080160320599</v>
      </c>
      <c r="F169" s="3" t="s">
        <v>9</v>
      </c>
      <c r="G169" s="3" t="s">
        <v>10</v>
      </c>
      <c r="H169" t="s">
        <v>37</v>
      </c>
      <c r="I169" t="s">
        <v>12</v>
      </c>
    </row>
    <row r="170" spans="1:9" x14ac:dyDescent="0.25">
      <c r="A170" s="3">
        <v>10620</v>
      </c>
      <c r="B170" s="4">
        <v>44906</v>
      </c>
      <c r="C170" t="s">
        <v>20</v>
      </c>
      <c r="D170" s="5">
        <v>13</v>
      </c>
      <c r="E170" s="6">
        <v>585.06543494996197</v>
      </c>
      <c r="F170" s="3" t="s">
        <v>9</v>
      </c>
      <c r="G170" s="3" t="s">
        <v>10</v>
      </c>
      <c r="H170" t="s">
        <v>37</v>
      </c>
      <c r="I170" t="s">
        <v>12</v>
      </c>
    </row>
    <row r="171" spans="1:9" x14ac:dyDescent="0.25">
      <c r="A171" s="3">
        <v>10621</v>
      </c>
      <c r="B171" s="4">
        <v>44906</v>
      </c>
      <c r="C171" t="s">
        <v>24</v>
      </c>
      <c r="D171" s="5">
        <v>10</v>
      </c>
      <c r="E171" s="6">
        <v>201.00502512562801</v>
      </c>
      <c r="F171" s="3" t="s">
        <v>9</v>
      </c>
      <c r="G171" s="3" t="s">
        <v>10</v>
      </c>
      <c r="H171" t="s">
        <v>37</v>
      </c>
      <c r="I171" t="s">
        <v>12</v>
      </c>
    </row>
    <row r="172" spans="1:9" x14ac:dyDescent="0.25">
      <c r="A172" s="3">
        <v>10622</v>
      </c>
      <c r="B172" s="4">
        <v>44906</v>
      </c>
      <c r="C172" t="s">
        <v>8</v>
      </c>
      <c r="D172" s="5">
        <v>4</v>
      </c>
      <c r="E172" s="6">
        <v>630.37249283667597</v>
      </c>
      <c r="F172" s="3" t="s">
        <v>9</v>
      </c>
      <c r="G172" s="3" t="s">
        <v>10</v>
      </c>
      <c r="H172" t="s">
        <v>37</v>
      </c>
      <c r="I172" t="s">
        <v>12</v>
      </c>
    </row>
    <row r="173" spans="1:9" x14ac:dyDescent="0.25">
      <c r="A173" s="3">
        <v>10623</v>
      </c>
      <c r="B173" s="4">
        <v>44906</v>
      </c>
      <c r="C173" t="s">
        <v>13</v>
      </c>
      <c r="D173" s="5">
        <v>3</v>
      </c>
      <c r="E173" s="6">
        <v>745.76271186440704</v>
      </c>
      <c r="F173" s="3" t="s">
        <v>9</v>
      </c>
      <c r="G173" s="3" t="s">
        <v>10</v>
      </c>
      <c r="H173" t="s">
        <v>37</v>
      </c>
      <c r="I173" t="s">
        <v>12</v>
      </c>
    </row>
    <row r="174" spans="1:9" x14ac:dyDescent="0.25">
      <c r="A174" s="3">
        <v>10624</v>
      </c>
      <c r="B174" s="4">
        <v>44906</v>
      </c>
      <c r="C174" t="s">
        <v>16</v>
      </c>
      <c r="D174" s="5">
        <v>5</v>
      </c>
      <c r="E174" s="6">
        <v>200.40080160320599</v>
      </c>
      <c r="F174" s="3" t="s">
        <v>9</v>
      </c>
      <c r="G174" s="3" t="s">
        <v>10</v>
      </c>
      <c r="H174" t="s">
        <v>37</v>
      </c>
      <c r="I174" t="s">
        <v>12</v>
      </c>
    </row>
    <row r="175" spans="1:9" x14ac:dyDescent="0.25">
      <c r="A175" s="3">
        <v>10625</v>
      </c>
      <c r="B175" s="4">
        <v>44907</v>
      </c>
      <c r="C175" t="s">
        <v>20</v>
      </c>
      <c r="D175" s="5">
        <v>13</v>
      </c>
      <c r="E175" s="6">
        <v>569.66897613548895</v>
      </c>
      <c r="F175" s="3" t="s">
        <v>9</v>
      </c>
      <c r="G175" s="3" t="s">
        <v>10</v>
      </c>
      <c r="H175" t="s">
        <v>37</v>
      </c>
      <c r="I175" t="s">
        <v>12</v>
      </c>
    </row>
    <row r="176" spans="1:9" x14ac:dyDescent="0.25">
      <c r="A176" s="3">
        <v>10626</v>
      </c>
      <c r="B176" s="4">
        <v>44907</v>
      </c>
      <c r="C176" t="s">
        <v>24</v>
      </c>
      <c r="D176" s="5">
        <v>10</v>
      </c>
      <c r="E176" s="6">
        <v>201.00502512562801</v>
      </c>
      <c r="F176" s="3" t="s">
        <v>9</v>
      </c>
      <c r="G176" s="3" t="s">
        <v>10</v>
      </c>
      <c r="H176" t="s">
        <v>37</v>
      </c>
      <c r="I176" t="s">
        <v>12</v>
      </c>
    </row>
    <row r="177" spans="1:9" x14ac:dyDescent="0.25">
      <c r="A177" s="3">
        <v>10627</v>
      </c>
      <c r="B177" s="4">
        <v>44907</v>
      </c>
      <c r="C177" t="s">
        <v>8</v>
      </c>
      <c r="D177" s="5">
        <v>4</v>
      </c>
      <c r="E177" s="6">
        <v>630.37249283667597</v>
      </c>
      <c r="F177" s="3" t="s">
        <v>9</v>
      </c>
      <c r="G177" s="3" t="s">
        <v>10</v>
      </c>
      <c r="H177" t="s">
        <v>37</v>
      </c>
      <c r="I177" t="s">
        <v>12</v>
      </c>
    </row>
    <row r="178" spans="1:9" ht="15.75" x14ac:dyDescent="0.25">
      <c r="A178" s="3">
        <v>10628</v>
      </c>
      <c r="B178" s="4">
        <v>44907</v>
      </c>
      <c r="C178" t="s">
        <v>13</v>
      </c>
      <c r="D178" s="5">
        <v>3</v>
      </c>
      <c r="E178" s="6">
        <v>677.96610169491498</v>
      </c>
      <c r="F178" s="3" t="s">
        <v>9</v>
      </c>
      <c r="G178" s="3" t="s">
        <v>10</v>
      </c>
      <c r="H178" s="7" t="s">
        <v>34</v>
      </c>
      <c r="I178" t="s">
        <v>19</v>
      </c>
    </row>
    <row r="179" spans="1:9" ht="15.75" x14ac:dyDescent="0.25">
      <c r="A179" s="3">
        <v>10629</v>
      </c>
      <c r="B179" s="4">
        <v>44907</v>
      </c>
      <c r="C179" t="s">
        <v>16</v>
      </c>
      <c r="D179" s="5">
        <v>5</v>
      </c>
      <c r="E179" s="6">
        <v>200.40080160320599</v>
      </c>
      <c r="F179" s="3" t="s">
        <v>9</v>
      </c>
      <c r="G179" s="3" t="s">
        <v>10</v>
      </c>
      <c r="H179" s="7" t="s">
        <v>34</v>
      </c>
      <c r="I179" t="s">
        <v>19</v>
      </c>
    </row>
    <row r="180" spans="1:9" ht="15.75" x14ac:dyDescent="0.25">
      <c r="A180" s="3">
        <v>10630</v>
      </c>
      <c r="B180" s="4">
        <v>44908</v>
      </c>
      <c r="C180" t="s">
        <v>20</v>
      </c>
      <c r="D180" s="5">
        <v>13</v>
      </c>
      <c r="E180" s="6">
        <v>569.66897613548895</v>
      </c>
      <c r="F180" s="3" t="s">
        <v>9</v>
      </c>
      <c r="G180" s="3" t="s">
        <v>36</v>
      </c>
      <c r="H180" s="7" t="s">
        <v>34</v>
      </c>
      <c r="I180" t="s">
        <v>19</v>
      </c>
    </row>
    <row r="181" spans="1:9" ht="15.75" x14ac:dyDescent="0.25">
      <c r="A181" s="3">
        <v>10631</v>
      </c>
      <c r="B181" s="4">
        <v>44908</v>
      </c>
      <c r="C181" t="s">
        <v>24</v>
      </c>
      <c r="D181" s="5">
        <v>10</v>
      </c>
      <c r="E181" s="6">
        <v>201.00502512562801</v>
      </c>
      <c r="F181" s="3" t="s">
        <v>9</v>
      </c>
      <c r="G181" s="3" t="s">
        <v>10</v>
      </c>
      <c r="H181" s="7" t="s">
        <v>34</v>
      </c>
      <c r="I181" t="s">
        <v>19</v>
      </c>
    </row>
    <row r="182" spans="1:9" ht="15.75" x14ac:dyDescent="0.25">
      <c r="A182" s="3">
        <v>10632</v>
      </c>
      <c r="B182" s="4">
        <v>44908</v>
      </c>
      <c r="C182" t="s">
        <v>8</v>
      </c>
      <c r="D182" s="5">
        <v>4</v>
      </c>
      <c r="E182" s="6">
        <v>630.37249283667597</v>
      </c>
      <c r="F182" s="3" t="s">
        <v>9</v>
      </c>
      <c r="G182" s="3" t="s">
        <v>10</v>
      </c>
      <c r="H182" s="7" t="s">
        <v>34</v>
      </c>
      <c r="I182" t="s">
        <v>19</v>
      </c>
    </row>
    <row r="183" spans="1:9" ht="15.75" x14ac:dyDescent="0.25">
      <c r="A183" s="3">
        <v>10633</v>
      </c>
      <c r="B183" s="4">
        <v>44908</v>
      </c>
      <c r="C183" t="s">
        <v>13</v>
      </c>
      <c r="D183" s="5">
        <v>3</v>
      </c>
      <c r="E183" s="6">
        <v>677.96610169491498</v>
      </c>
      <c r="F183" s="3" t="s">
        <v>9</v>
      </c>
      <c r="G183" s="3" t="s">
        <v>10</v>
      </c>
      <c r="H183" s="7" t="s">
        <v>34</v>
      </c>
      <c r="I183" t="s">
        <v>19</v>
      </c>
    </row>
    <row r="184" spans="1:9" ht="15.75" x14ac:dyDescent="0.25">
      <c r="A184" s="3">
        <v>10634</v>
      </c>
      <c r="B184" s="4">
        <v>44908</v>
      </c>
      <c r="C184" t="s">
        <v>16</v>
      </c>
      <c r="D184" s="5">
        <v>5</v>
      </c>
      <c r="E184" s="6">
        <v>200.40080160320599</v>
      </c>
      <c r="F184" s="3" t="s">
        <v>9</v>
      </c>
      <c r="G184" s="3" t="s">
        <v>10</v>
      </c>
      <c r="H184" s="7" t="s">
        <v>34</v>
      </c>
      <c r="I184" t="s">
        <v>19</v>
      </c>
    </row>
    <row r="185" spans="1:9" ht="15.75" x14ac:dyDescent="0.25">
      <c r="A185" s="3">
        <v>10635</v>
      </c>
      <c r="B185" s="4">
        <v>44909</v>
      </c>
      <c r="C185" t="s">
        <v>20</v>
      </c>
      <c r="D185" s="5">
        <v>13</v>
      </c>
      <c r="E185" s="6">
        <v>554.27251732101604</v>
      </c>
      <c r="F185" s="3" t="s">
        <v>9</v>
      </c>
      <c r="G185" s="3" t="s">
        <v>10</v>
      </c>
      <c r="H185" s="7" t="s">
        <v>34</v>
      </c>
      <c r="I185" t="s">
        <v>19</v>
      </c>
    </row>
    <row r="186" spans="1:9" ht="15.75" x14ac:dyDescent="0.25">
      <c r="A186" s="3">
        <v>10636</v>
      </c>
      <c r="B186" s="4">
        <v>44909</v>
      </c>
      <c r="C186" t="s">
        <v>24</v>
      </c>
      <c r="D186" s="5">
        <v>10</v>
      </c>
      <c r="E186" s="6">
        <v>221.10552763819101</v>
      </c>
      <c r="F186" s="3" t="s">
        <v>9</v>
      </c>
      <c r="G186" s="3" t="s">
        <v>10</v>
      </c>
      <c r="H186" s="7" t="s">
        <v>34</v>
      </c>
      <c r="I186" t="s">
        <v>19</v>
      </c>
    </row>
    <row r="187" spans="1:9" ht="15.75" x14ac:dyDescent="0.25">
      <c r="A187" s="3">
        <v>10637</v>
      </c>
      <c r="B187" s="4">
        <v>44909</v>
      </c>
      <c r="C187" t="s">
        <v>8</v>
      </c>
      <c r="D187" s="5">
        <v>4</v>
      </c>
      <c r="E187" s="6">
        <v>630.37249283667597</v>
      </c>
      <c r="F187" s="3" t="s">
        <v>9</v>
      </c>
      <c r="G187" s="3" t="s">
        <v>10</v>
      </c>
      <c r="H187" s="7" t="s">
        <v>34</v>
      </c>
      <c r="I187" t="s">
        <v>19</v>
      </c>
    </row>
    <row r="188" spans="1:9" ht="15.75" x14ac:dyDescent="0.25">
      <c r="A188" s="3">
        <v>10638</v>
      </c>
      <c r="B188" s="4">
        <v>44909</v>
      </c>
      <c r="C188" t="s">
        <v>13</v>
      </c>
      <c r="D188" s="5">
        <v>3</v>
      </c>
      <c r="E188" s="6">
        <v>677.96610169491498</v>
      </c>
      <c r="F188" s="3" t="s">
        <v>9</v>
      </c>
      <c r="G188" s="3" t="s">
        <v>10</v>
      </c>
      <c r="H188" s="7" t="s">
        <v>34</v>
      </c>
      <c r="I188" t="s">
        <v>19</v>
      </c>
    </row>
    <row r="189" spans="1:9" ht="15.75" x14ac:dyDescent="0.25">
      <c r="A189" s="3">
        <v>10639</v>
      </c>
      <c r="B189" s="4">
        <v>44909</v>
      </c>
      <c r="C189" t="s">
        <v>16</v>
      </c>
      <c r="D189" s="5">
        <v>5</v>
      </c>
      <c r="E189" s="6">
        <v>200.40080160320599</v>
      </c>
      <c r="F189" s="3" t="s">
        <v>9</v>
      </c>
      <c r="G189" s="3" t="s">
        <v>10</v>
      </c>
      <c r="H189" s="7" t="s">
        <v>34</v>
      </c>
      <c r="I189" t="s">
        <v>19</v>
      </c>
    </row>
    <row r="190" spans="1:9" ht="15.75" x14ac:dyDescent="0.25">
      <c r="A190" s="3">
        <v>10640</v>
      </c>
      <c r="B190" s="4">
        <v>44910</v>
      </c>
      <c r="C190" t="s">
        <v>20</v>
      </c>
      <c r="D190" s="5">
        <v>13</v>
      </c>
      <c r="E190" s="6">
        <v>538.87605850654302</v>
      </c>
      <c r="F190" s="3" t="s">
        <v>9</v>
      </c>
      <c r="G190" s="3" t="s">
        <v>10</v>
      </c>
      <c r="H190" s="7" t="s">
        <v>34</v>
      </c>
      <c r="I190" t="s">
        <v>19</v>
      </c>
    </row>
    <row r="191" spans="1:9" ht="15.75" x14ac:dyDescent="0.25">
      <c r="A191" s="3">
        <v>10641</v>
      </c>
      <c r="B191" s="4">
        <v>44910</v>
      </c>
      <c r="C191" t="s">
        <v>24</v>
      </c>
      <c r="D191" s="5">
        <v>10</v>
      </c>
      <c r="E191" s="6">
        <v>221.10552763819101</v>
      </c>
      <c r="F191" s="3" t="s">
        <v>9</v>
      </c>
      <c r="G191" s="3" t="s">
        <v>10</v>
      </c>
      <c r="H191" s="7" t="s">
        <v>34</v>
      </c>
      <c r="I191" t="s">
        <v>19</v>
      </c>
    </row>
    <row r="192" spans="1:9" ht="15.75" x14ac:dyDescent="0.25">
      <c r="A192" s="3">
        <v>10642</v>
      </c>
      <c r="B192" s="4">
        <v>44910</v>
      </c>
      <c r="C192" t="s">
        <v>8</v>
      </c>
      <c r="D192" s="5">
        <v>4</v>
      </c>
      <c r="E192" s="6">
        <v>630.37249283667597</v>
      </c>
      <c r="F192" s="3" t="s">
        <v>9</v>
      </c>
      <c r="G192" s="3" t="s">
        <v>36</v>
      </c>
      <c r="H192" s="7" t="s">
        <v>34</v>
      </c>
      <c r="I192" t="s">
        <v>19</v>
      </c>
    </row>
    <row r="193" spans="1:9" ht="15.75" x14ac:dyDescent="0.25">
      <c r="A193" s="3">
        <v>10643</v>
      </c>
      <c r="B193" s="4">
        <v>44910</v>
      </c>
      <c r="C193" t="s">
        <v>13</v>
      </c>
      <c r="D193" s="5">
        <v>3</v>
      </c>
      <c r="E193" s="6">
        <v>677.96610169491498</v>
      </c>
      <c r="F193" s="3" t="s">
        <v>9</v>
      </c>
      <c r="G193" s="3" t="s">
        <v>36</v>
      </c>
      <c r="H193" s="7" t="s">
        <v>34</v>
      </c>
      <c r="I193" t="s">
        <v>19</v>
      </c>
    </row>
    <row r="194" spans="1:9" ht="15.75" x14ac:dyDescent="0.25">
      <c r="A194" s="3">
        <v>10644</v>
      </c>
      <c r="B194" s="4">
        <v>44910</v>
      </c>
      <c r="C194" t="s">
        <v>16</v>
      </c>
      <c r="D194" s="5">
        <v>5</v>
      </c>
      <c r="E194" s="6">
        <v>200.40080160320599</v>
      </c>
      <c r="F194" s="3" t="s">
        <v>9</v>
      </c>
      <c r="G194" s="3" t="s">
        <v>36</v>
      </c>
      <c r="H194" s="7" t="s">
        <v>34</v>
      </c>
      <c r="I194" t="s">
        <v>19</v>
      </c>
    </row>
    <row r="195" spans="1:9" ht="15.75" x14ac:dyDescent="0.25">
      <c r="A195" s="3">
        <v>10645</v>
      </c>
      <c r="B195" s="4">
        <v>44911</v>
      </c>
      <c r="C195" t="s">
        <v>20</v>
      </c>
      <c r="D195" s="5">
        <v>13</v>
      </c>
      <c r="E195" s="6">
        <v>569.66897613548895</v>
      </c>
      <c r="F195" s="3" t="s">
        <v>9</v>
      </c>
      <c r="G195" s="3" t="s">
        <v>36</v>
      </c>
      <c r="H195" s="7" t="s">
        <v>34</v>
      </c>
      <c r="I195" t="s">
        <v>19</v>
      </c>
    </row>
    <row r="196" spans="1:9" ht="15.75" x14ac:dyDescent="0.25">
      <c r="A196" s="3">
        <v>10646</v>
      </c>
      <c r="B196" s="4">
        <v>44911</v>
      </c>
      <c r="C196" t="s">
        <v>24</v>
      </c>
      <c r="D196" s="5">
        <v>10</v>
      </c>
      <c r="E196" s="6">
        <v>221.10552763819101</v>
      </c>
      <c r="F196" s="3" t="s">
        <v>9</v>
      </c>
      <c r="G196" s="3" t="s">
        <v>36</v>
      </c>
      <c r="H196" s="7" t="s">
        <v>34</v>
      </c>
      <c r="I196" t="s">
        <v>19</v>
      </c>
    </row>
    <row r="197" spans="1:9" ht="15.75" x14ac:dyDescent="0.25">
      <c r="A197" s="3">
        <v>10647</v>
      </c>
      <c r="B197" s="4">
        <v>44911</v>
      </c>
      <c r="C197" t="s">
        <v>8</v>
      </c>
      <c r="D197" s="5">
        <v>4</v>
      </c>
      <c r="E197" s="6">
        <v>630.37249283667597</v>
      </c>
      <c r="F197" s="3" t="s">
        <v>9</v>
      </c>
      <c r="G197" s="3" t="s">
        <v>10</v>
      </c>
      <c r="H197" s="7" t="s">
        <v>34</v>
      </c>
      <c r="I197" t="s">
        <v>19</v>
      </c>
    </row>
    <row r="198" spans="1:9" ht="15.75" x14ac:dyDescent="0.25">
      <c r="A198" s="3">
        <v>10648</v>
      </c>
      <c r="B198" s="4">
        <v>44911</v>
      </c>
      <c r="C198" t="s">
        <v>13</v>
      </c>
      <c r="D198" s="5">
        <v>3</v>
      </c>
      <c r="E198" s="6">
        <v>745.76271186440704</v>
      </c>
      <c r="F198" s="3" t="s">
        <v>9</v>
      </c>
      <c r="G198" s="3" t="s">
        <v>10</v>
      </c>
      <c r="H198" s="7" t="s">
        <v>34</v>
      </c>
      <c r="I198" t="s">
        <v>19</v>
      </c>
    </row>
    <row r="199" spans="1:9" ht="15.75" x14ac:dyDescent="0.25">
      <c r="A199" s="3">
        <v>10649</v>
      </c>
      <c r="B199" s="4">
        <v>44911</v>
      </c>
      <c r="C199" t="s">
        <v>16</v>
      </c>
      <c r="D199" s="5">
        <v>5</v>
      </c>
      <c r="E199" s="6">
        <v>200.40080160320599</v>
      </c>
      <c r="F199" s="3" t="s">
        <v>9</v>
      </c>
      <c r="G199" s="3" t="s">
        <v>10</v>
      </c>
      <c r="H199" s="7" t="s">
        <v>34</v>
      </c>
      <c r="I199" t="s">
        <v>19</v>
      </c>
    </row>
    <row r="200" spans="1:9" ht="15.75" x14ac:dyDescent="0.25">
      <c r="A200" s="3">
        <v>10650</v>
      </c>
      <c r="B200" s="4">
        <v>44912</v>
      </c>
      <c r="C200" t="s">
        <v>20</v>
      </c>
      <c r="D200" s="5">
        <v>13</v>
      </c>
      <c r="E200" s="6">
        <v>585.06543494996197</v>
      </c>
      <c r="F200" s="3" t="s">
        <v>9</v>
      </c>
      <c r="G200" s="3" t="s">
        <v>10</v>
      </c>
      <c r="H200" s="7" t="s">
        <v>34</v>
      </c>
      <c r="I200" t="s">
        <v>19</v>
      </c>
    </row>
    <row r="201" spans="1:9" ht="15.75" x14ac:dyDescent="0.25">
      <c r="A201" s="3">
        <v>10651</v>
      </c>
      <c r="B201" s="4">
        <v>44912</v>
      </c>
      <c r="C201" t="s">
        <v>24</v>
      </c>
      <c r="D201" s="5">
        <v>10</v>
      </c>
      <c r="E201" s="6">
        <v>221.10552763819101</v>
      </c>
      <c r="F201" s="3" t="s">
        <v>9</v>
      </c>
      <c r="G201" s="3" t="s">
        <v>10</v>
      </c>
      <c r="H201" s="7" t="s">
        <v>34</v>
      </c>
      <c r="I201" t="s">
        <v>19</v>
      </c>
    </row>
    <row r="202" spans="1:9" ht="15.75" x14ac:dyDescent="0.25">
      <c r="A202" s="3">
        <v>10652</v>
      </c>
      <c r="B202" s="4">
        <v>44912</v>
      </c>
      <c r="C202" t="s">
        <v>8</v>
      </c>
      <c r="D202" s="5">
        <v>4</v>
      </c>
      <c r="E202" s="6">
        <v>687.67908309455595</v>
      </c>
      <c r="F202" s="3" t="s">
        <v>9</v>
      </c>
      <c r="G202" s="3" t="s">
        <v>10</v>
      </c>
      <c r="H202" s="7" t="s">
        <v>34</v>
      </c>
      <c r="I202" t="s">
        <v>19</v>
      </c>
    </row>
    <row r="203" spans="1:9" ht="15.75" x14ac:dyDescent="0.25">
      <c r="A203" s="3">
        <v>10653</v>
      </c>
      <c r="B203" s="4">
        <v>44912</v>
      </c>
      <c r="C203" t="s">
        <v>13</v>
      </c>
      <c r="D203" s="5">
        <v>3</v>
      </c>
      <c r="E203" s="6">
        <v>745.76271186440704</v>
      </c>
      <c r="F203" s="3" t="s">
        <v>9</v>
      </c>
      <c r="G203" s="3" t="s">
        <v>10</v>
      </c>
      <c r="H203" s="7" t="s">
        <v>34</v>
      </c>
      <c r="I203" t="s">
        <v>19</v>
      </c>
    </row>
    <row r="204" spans="1:9" ht="15.75" x14ac:dyDescent="0.25">
      <c r="A204" s="3">
        <v>10654</v>
      </c>
      <c r="B204" s="4">
        <v>44912</v>
      </c>
      <c r="C204" t="s">
        <v>16</v>
      </c>
      <c r="D204" s="5">
        <v>5</v>
      </c>
      <c r="E204" s="6">
        <v>200.40080160320599</v>
      </c>
      <c r="F204" s="3" t="s">
        <v>9</v>
      </c>
      <c r="G204" s="3" t="s">
        <v>10</v>
      </c>
      <c r="H204" s="7" t="s">
        <v>34</v>
      </c>
      <c r="I204" t="s">
        <v>19</v>
      </c>
    </row>
    <row r="205" spans="1:9" ht="15.75" x14ac:dyDescent="0.25">
      <c r="A205" s="3">
        <v>10655</v>
      </c>
      <c r="B205" s="4">
        <v>44913</v>
      </c>
      <c r="C205" t="s">
        <v>20</v>
      </c>
      <c r="D205" s="5">
        <v>13</v>
      </c>
      <c r="E205" s="6">
        <v>600.46189376443397</v>
      </c>
      <c r="F205" s="3" t="s">
        <v>9</v>
      </c>
      <c r="G205" s="3" t="s">
        <v>10</v>
      </c>
      <c r="H205" s="7" t="s">
        <v>34</v>
      </c>
      <c r="I205" t="s">
        <v>19</v>
      </c>
    </row>
    <row r="206" spans="1:9" ht="15.75" x14ac:dyDescent="0.25">
      <c r="A206" s="3">
        <v>10656</v>
      </c>
      <c r="B206" s="4">
        <v>44913</v>
      </c>
      <c r="C206" t="s">
        <v>24</v>
      </c>
      <c r="D206" s="5">
        <v>10</v>
      </c>
      <c r="E206" s="6">
        <v>221.10552763819101</v>
      </c>
      <c r="F206" s="3" t="s">
        <v>9</v>
      </c>
      <c r="G206" s="3" t="s">
        <v>10</v>
      </c>
      <c r="H206" s="7" t="s">
        <v>34</v>
      </c>
      <c r="I206" t="s">
        <v>19</v>
      </c>
    </row>
    <row r="207" spans="1:9" ht="15.75" x14ac:dyDescent="0.25">
      <c r="A207" s="3">
        <v>10657</v>
      </c>
      <c r="B207" s="4">
        <v>44913</v>
      </c>
      <c r="C207" t="s">
        <v>8</v>
      </c>
      <c r="D207" s="5">
        <v>4</v>
      </c>
      <c r="E207" s="6">
        <v>687.67908309455595</v>
      </c>
      <c r="F207" s="3" t="s">
        <v>9</v>
      </c>
      <c r="G207" s="3" t="s">
        <v>10</v>
      </c>
      <c r="H207" s="7" t="s">
        <v>34</v>
      </c>
      <c r="I207" t="s">
        <v>19</v>
      </c>
    </row>
    <row r="208" spans="1:9" ht="15.75" x14ac:dyDescent="0.25">
      <c r="A208" s="3">
        <v>10658</v>
      </c>
      <c r="B208" s="4">
        <v>44913</v>
      </c>
      <c r="C208" t="s">
        <v>13</v>
      </c>
      <c r="D208" s="5">
        <v>3</v>
      </c>
      <c r="E208" s="6">
        <v>745.76271186440704</v>
      </c>
      <c r="F208" s="3" t="s">
        <v>9</v>
      </c>
      <c r="G208" s="3" t="s">
        <v>36</v>
      </c>
      <c r="H208" s="7" t="s">
        <v>34</v>
      </c>
      <c r="I208" t="s">
        <v>19</v>
      </c>
    </row>
    <row r="209" spans="1:9" ht="15.75" x14ac:dyDescent="0.25">
      <c r="A209" s="3">
        <v>10659</v>
      </c>
      <c r="B209" s="4">
        <v>44913</v>
      </c>
      <c r="C209" t="s">
        <v>16</v>
      </c>
      <c r="D209" s="5">
        <v>5</v>
      </c>
      <c r="E209" s="6">
        <v>200.40080160320599</v>
      </c>
      <c r="F209" s="3" t="s">
        <v>9</v>
      </c>
      <c r="G209" s="3" t="s">
        <v>36</v>
      </c>
      <c r="H209" s="7" t="s">
        <v>34</v>
      </c>
      <c r="I209" t="s">
        <v>19</v>
      </c>
    </row>
    <row r="210" spans="1:9" ht="15.75" x14ac:dyDescent="0.25">
      <c r="A210" s="3">
        <v>10660</v>
      </c>
      <c r="B210" s="4">
        <v>44914</v>
      </c>
      <c r="C210" t="s">
        <v>20</v>
      </c>
      <c r="D210" s="5">
        <v>13</v>
      </c>
      <c r="E210" s="6">
        <v>631.25481139338001</v>
      </c>
      <c r="F210" s="3" t="s">
        <v>17</v>
      </c>
      <c r="G210" s="3" t="s">
        <v>36</v>
      </c>
      <c r="H210" s="7" t="s">
        <v>34</v>
      </c>
      <c r="I210" t="s">
        <v>19</v>
      </c>
    </row>
    <row r="211" spans="1:9" ht="15.75" x14ac:dyDescent="0.25">
      <c r="A211" s="3">
        <v>10661</v>
      </c>
      <c r="B211" s="4">
        <v>44914</v>
      </c>
      <c r="C211" t="s">
        <v>24</v>
      </c>
      <c r="D211" s="5">
        <v>10</v>
      </c>
      <c r="E211" s="6">
        <v>221.10552763819101</v>
      </c>
      <c r="F211" s="3" t="s">
        <v>17</v>
      </c>
      <c r="G211" s="3" t="s">
        <v>36</v>
      </c>
      <c r="H211" s="7" t="s">
        <v>34</v>
      </c>
      <c r="I211" t="s">
        <v>19</v>
      </c>
    </row>
    <row r="212" spans="1:9" ht="15.75" x14ac:dyDescent="0.25">
      <c r="A212" s="3">
        <v>10662</v>
      </c>
      <c r="B212" s="4">
        <v>44914</v>
      </c>
      <c r="C212" t="s">
        <v>8</v>
      </c>
      <c r="D212" s="5">
        <v>4</v>
      </c>
      <c r="E212" s="6">
        <v>630.37249283667597</v>
      </c>
      <c r="F212" s="3" t="s">
        <v>17</v>
      </c>
      <c r="G212" s="3" t="s">
        <v>36</v>
      </c>
      <c r="H212" s="7" t="s">
        <v>34</v>
      </c>
      <c r="I212" t="s">
        <v>19</v>
      </c>
    </row>
    <row r="213" spans="1:9" ht="15.75" x14ac:dyDescent="0.25">
      <c r="A213" s="3">
        <v>10663</v>
      </c>
      <c r="B213" s="4">
        <v>44914</v>
      </c>
      <c r="C213" t="s">
        <v>13</v>
      </c>
      <c r="D213" s="5">
        <v>3</v>
      </c>
      <c r="E213" s="6">
        <v>745.76271186440704</v>
      </c>
      <c r="F213" s="3" t="s">
        <v>17</v>
      </c>
      <c r="G213" s="3" t="s">
        <v>36</v>
      </c>
      <c r="H213" s="7" t="s">
        <v>34</v>
      </c>
      <c r="I213" t="s">
        <v>19</v>
      </c>
    </row>
    <row r="214" spans="1:9" ht="15.75" x14ac:dyDescent="0.25">
      <c r="A214" s="3">
        <v>10664</v>
      </c>
      <c r="B214" s="4">
        <v>44914</v>
      </c>
      <c r="C214" t="s">
        <v>16</v>
      </c>
      <c r="D214" s="5">
        <v>5</v>
      </c>
      <c r="E214" s="6">
        <v>200.40080160320599</v>
      </c>
      <c r="F214" s="3" t="s">
        <v>17</v>
      </c>
      <c r="G214" s="3" t="s">
        <v>36</v>
      </c>
      <c r="H214" s="7" t="s">
        <v>34</v>
      </c>
      <c r="I214" t="s">
        <v>19</v>
      </c>
    </row>
    <row r="215" spans="1:9" ht="15.75" x14ac:dyDescent="0.25">
      <c r="A215" s="3">
        <v>10665</v>
      </c>
      <c r="B215" s="4">
        <v>44915</v>
      </c>
      <c r="C215" t="s">
        <v>20</v>
      </c>
      <c r="D215" s="5">
        <v>13</v>
      </c>
      <c r="E215" s="6">
        <v>646.65127020785201</v>
      </c>
      <c r="F215" s="3" t="s">
        <v>17</v>
      </c>
      <c r="G215" s="3" t="s">
        <v>36</v>
      </c>
      <c r="H215" s="7" t="s">
        <v>34</v>
      </c>
      <c r="I215" t="s">
        <v>19</v>
      </c>
    </row>
    <row r="216" spans="1:9" ht="15.75" x14ac:dyDescent="0.25">
      <c r="A216" s="3">
        <v>10666</v>
      </c>
      <c r="B216" s="4">
        <v>44915</v>
      </c>
      <c r="C216" t="s">
        <v>24</v>
      </c>
      <c r="D216" s="5">
        <v>10</v>
      </c>
      <c r="E216" s="6">
        <v>221.10552763819101</v>
      </c>
      <c r="F216" s="3" t="s">
        <v>17</v>
      </c>
      <c r="G216" s="3" t="s">
        <v>36</v>
      </c>
      <c r="H216" s="7" t="s">
        <v>34</v>
      </c>
      <c r="I216" t="s">
        <v>19</v>
      </c>
    </row>
    <row r="217" spans="1:9" ht="15.75" x14ac:dyDescent="0.25">
      <c r="A217" s="3">
        <v>10667</v>
      </c>
      <c r="B217" s="4">
        <v>44915</v>
      </c>
      <c r="C217" t="s">
        <v>8</v>
      </c>
      <c r="D217" s="5">
        <v>4</v>
      </c>
      <c r="E217" s="6">
        <v>630.37249283667597</v>
      </c>
      <c r="F217" s="3" t="s">
        <v>17</v>
      </c>
      <c r="G217" s="3" t="s">
        <v>36</v>
      </c>
      <c r="H217" s="7" t="s">
        <v>34</v>
      </c>
      <c r="I217" t="s">
        <v>19</v>
      </c>
    </row>
    <row r="218" spans="1:9" ht="15.75" x14ac:dyDescent="0.25">
      <c r="A218" s="3">
        <v>10668</v>
      </c>
      <c r="B218" s="4">
        <v>44915</v>
      </c>
      <c r="C218" t="s">
        <v>13</v>
      </c>
      <c r="D218" s="5">
        <v>3</v>
      </c>
      <c r="E218" s="6">
        <v>745.76271186440704</v>
      </c>
      <c r="F218" s="3" t="s">
        <v>17</v>
      </c>
      <c r="G218" s="3" t="s">
        <v>36</v>
      </c>
      <c r="H218" s="7" t="s">
        <v>34</v>
      </c>
      <c r="I218" t="s">
        <v>19</v>
      </c>
    </row>
    <row r="219" spans="1:9" ht="15.75" x14ac:dyDescent="0.25">
      <c r="A219" s="3">
        <v>10669</v>
      </c>
      <c r="B219" s="4">
        <v>44915</v>
      </c>
      <c r="C219" t="s">
        <v>16</v>
      </c>
      <c r="D219" s="5">
        <v>5</v>
      </c>
      <c r="E219" s="6">
        <v>200.40080160320599</v>
      </c>
      <c r="F219" s="3" t="s">
        <v>17</v>
      </c>
      <c r="G219" s="3" t="s">
        <v>36</v>
      </c>
      <c r="H219" s="7" t="s">
        <v>34</v>
      </c>
      <c r="I219" t="s">
        <v>19</v>
      </c>
    </row>
    <row r="220" spans="1:9" ht="15.75" x14ac:dyDescent="0.25">
      <c r="A220" s="3">
        <v>10670</v>
      </c>
      <c r="B220" s="4">
        <v>44916</v>
      </c>
      <c r="C220" t="s">
        <v>20</v>
      </c>
      <c r="D220" s="5">
        <v>13</v>
      </c>
      <c r="E220" s="6">
        <v>677.44418783679703</v>
      </c>
      <c r="F220" s="3" t="s">
        <v>17</v>
      </c>
      <c r="G220" s="3" t="s">
        <v>36</v>
      </c>
      <c r="H220" s="7" t="s">
        <v>34</v>
      </c>
      <c r="I220" t="s">
        <v>19</v>
      </c>
    </row>
    <row r="221" spans="1:9" ht="15.75" x14ac:dyDescent="0.25">
      <c r="A221" s="3">
        <v>10671</v>
      </c>
      <c r="B221" s="4">
        <v>44916</v>
      </c>
      <c r="C221" t="s">
        <v>24</v>
      </c>
      <c r="D221" s="5">
        <v>10</v>
      </c>
      <c r="E221" s="6">
        <v>221.10552763819101</v>
      </c>
      <c r="F221" s="3" t="s">
        <v>17</v>
      </c>
      <c r="G221" s="3" t="s">
        <v>36</v>
      </c>
      <c r="H221" s="7" t="s">
        <v>34</v>
      </c>
      <c r="I221" t="s">
        <v>19</v>
      </c>
    </row>
    <row r="222" spans="1:9" ht="15.75" x14ac:dyDescent="0.25">
      <c r="A222" s="3">
        <v>10672</v>
      </c>
      <c r="B222" s="4">
        <v>44916</v>
      </c>
      <c r="C222" t="s">
        <v>8</v>
      </c>
      <c r="D222" s="5">
        <v>4</v>
      </c>
      <c r="E222" s="6">
        <v>630.37249283667597</v>
      </c>
      <c r="F222" s="3" t="s">
        <v>17</v>
      </c>
      <c r="G222" s="3" t="s">
        <v>36</v>
      </c>
      <c r="H222" s="7" t="s">
        <v>34</v>
      </c>
      <c r="I222" t="s">
        <v>19</v>
      </c>
    </row>
    <row r="223" spans="1:9" ht="15.75" x14ac:dyDescent="0.25">
      <c r="A223" s="3">
        <v>10673</v>
      </c>
      <c r="B223" s="4">
        <v>44916</v>
      </c>
      <c r="C223" t="s">
        <v>13</v>
      </c>
      <c r="D223" s="5">
        <v>3</v>
      </c>
      <c r="E223" s="6">
        <v>745.76271186440704</v>
      </c>
      <c r="F223" s="3" t="s">
        <v>17</v>
      </c>
      <c r="G223" s="3" t="s">
        <v>36</v>
      </c>
      <c r="H223" s="7" t="s">
        <v>34</v>
      </c>
      <c r="I223" t="s">
        <v>19</v>
      </c>
    </row>
    <row r="224" spans="1:9" ht="15.75" x14ac:dyDescent="0.25">
      <c r="A224" s="3">
        <v>10674</v>
      </c>
      <c r="B224" s="4">
        <v>44916</v>
      </c>
      <c r="C224" t="s">
        <v>16</v>
      </c>
      <c r="D224" s="5">
        <v>5</v>
      </c>
      <c r="E224" s="6">
        <v>200.40080160320599</v>
      </c>
      <c r="F224" s="3" t="s">
        <v>17</v>
      </c>
      <c r="G224" s="3" t="s">
        <v>36</v>
      </c>
      <c r="H224" s="7" t="s">
        <v>34</v>
      </c>
      <c r="I224" t="s">
        <v>19</v>
      </c>
    </row>
    <row r="225" spans="1:9" ht="15.75" x14ac:dyDescent="0.25">
      <c r="A225" s="3">
        <v>10675</v>
      </c>
      <c r="B225" s="4">
        <v>44917</v>
      </c>
      <c r="C225" t="s">
        <v>20</v>
      </c>
      <c r="D225" s="5">
        <v>13</v>
      </c>
      <c r="E225" s="6">
        <v>677.44418783679703</v>
      </c>
      <c r="F225" s="3" t="s">
        <v>17</v>
      </c>
      <c r="G225" s="3" t="s">
        <v>36</v>
      </c>
      <c r="H225" s="7" t="s">
        <v>34</v>
      </c>
      <c r="I225" t="s">
        <v>19</v>
      </c>
    </row>
    <row r="226" spans="1:9" ht="15.75" x14ac:dyDescent="0.25">
      <c r="A226" s="3">
        <v>10676</v>
      </c>
      <c r="B226" s="4">
        <v>44917</v>
      </c>
      <c r="C226" t="s">
        <v>24</v>
      </c>
      <c r="D226" s="5">
        <v>10</v>
      </c>
      <c r="E226" s="6">
        <v>241.206030150754</v>
      </c>
      <c r="F226" s="3" t="s">
        <v>17</v>
      </c>
      <c r="G226" s="3" t="s">
        <v>36</v>
      </c>
      <c r="H226" s="7" t="s">
        <v>34</v>
      </c>
      <c r="I226" t="s">
        <v>19</v>
      </c>
    </row>
    <row r="227" spans="1:9" ht="15.75" x14ac:dyDescent="0.25">
      <c r="A227" s="3">
        <v>10677</v>
      </c>
      <c r="B227" s="4">
        <v>44917</v>
      </c>
      <c r="C227" t="s">
        <v>8</v>
      </c>
      <c r="D227" s="5">
        <v>4</v>
      </c>
      <c r="E227" s="6">
        <v>630.37249283667597</v>
      </c>
      <c r="F227" s="3" t="s">
        <v>17</v>
      </c>
      <c r="G227" s="3" t="s">
        <v>36</v>
      </c>
      <c r="H227" s="7" t="s">
        <v>34</v>
      </c>
      <c r="I227" t="s">
        <v>19</v>
      </c>
    </row>
    <row r="228" spans="1:9" ht="15.75" x14ac:dyDescent="0.25">
      <c r="A228" s="3">
        <v>10678</v>
      </c>
      <c r="B228" s="4">
        <v>44917</v>
      </c>
      <c r="C228" t="s">
        <v>13</v>
      </c>
      <c r="D228" s="5">
        <v>3</v>
      </c>
      <c r="E228" s="6">
        <v>745.76271186440704</v>
      </c>
      <c r="F228" s="3" t="s">
        <v>17</v>
      </c>
      <c r="G228" s="3" t="s">
        <v>36</v>
      </c>
      <c r="H228" s="7" t="s">
        <v>34</v>
      </c>
      <c r="I228" t="s">
        <v>19</v>
      </c>
    </row>
    <row r="229" spans="1:9" ht="15.75" x14ac:dyDescent="0.25">
      <c r="A229" s="3">
        <v>10679</v>
      </c>
      <c r="B229" s="4">
        <v>44917</v>
      </c>
      <c r="C229" t="s">
        <v>16</v>
      </c>
      <c r="D229" s="5">
        <v>5</v>
      </c>
      <c r="E229" s="6">
        <v>200.40080160320599</v>
      </c>
      <c r="F229" s="3" t="s">
        <v>17</v>
      </c>
      <c r="G229" s="3" t="s">
        <v>36</v>
      </c>
      <c r="H229" s="7" t="s">
        <v>34</v>
      </c>
      <c r="I229" t="s">
        <v>19</v>
      </c>
    </row>
    <row r="230" spans="1:9" ht="15.75" x14ac:dyDescent="0.25">
      <c r="A230" s="3">
        <v>10680</v>
      </c>
      <c r="B230" s="4">
        <v>44918</v>
      </c>
      <c r="C230" t="s">
        <v>20</v>
      </c>
      <c r="D230" s="5">
        <v>13</v>
      </c>
      <c r="E230" s="6">
        <v>646.65127020785201</v>
      </c>
      <c r="F230" s="3" t="s">
        <v>17</v>
      </c>
      <c r="G230" s="3" t="s">
        <v>36</v>
      </c>
      <c r="H230" s="7" t="s">
        <v>34</v>
      </c>
      <c r="I230" t="s">
        <v>19</v>
      </c>
    </row>
    <row r="231" spans="1:9" ht="15.75" x14ac:dyDescent="0.25">
      <c r="A231" s="3">
        <v>10681</v>
      </c>
      <c r="B231" s="4">
        <v>44918</v>
      </c>
      <c r="C231" t="s">
        <v>24</v>
      </c>
      <c r="D231" s="5">
        <v>10</v>
      </c>
      <c r="E231" s="6">
        <v>241.206030150754</v>
      </c>
      <c r="F231" s="3" t="s">
        <v>17</v>
      </c>
      <c r="G231" s="3" t="s">
        <v>36</v>
      </c>
      <c r="H231" s="7" t="s">
        <v>34</v>
      </c>
      <c r="I231" t="s">
        <v>19</v>
      </c>
    </row>
    <row r="232" spans="1:9" ht="15.75" x14ac:dyDescent="0.25">
      <c r="A232" s="3">
        <v>10682</v>
      </c>
      <c r="B232" s="4">
        <v>44918</v>
      </c>
      <c r="C232" t="s">
        <v>8</v>
      </c>
      <c r="D232" s="5">
        <v>4</v>
      </c>
      <c r="E232" s="6">
        <v>630.37249283667597</v>
      </c>
      <c r="F232" s="3" t="s">
        <v>17</v>
      </c>
      <c r="G232" s="3" t="s">
        <v>36</v>
      </c>
      <c r="H232" s="7" t="s">
        <v>34</v>
      </c>
      <c r="I232" t="s">
        <v>19</v>
      </c>
    </row>
    <row r="233" spans="1:9" ht="15.75" x14ac:dyDescent="0.25">
      <c r="A233" s="3">
        <v>10683</v>
      </c>
      <c r="B233" s="4">
        <v>44918</v>
      </c>
      <c r="C233" t="s">
        <v>13</v>
      </c>
      <c r="D233" s="5">
        <v>3</v>
      </c>
      <c r="E233" s="6">
        <v>677.96610169491498</v>
      </c>
      <c r="F233" s="3" t="s">
        <v>17</v>
      </c>
      <c r="G233" s="3" t="s">
        <v>36</v>
      </c>
      <c r="H233" s="7" t="s">
        <v>34</v>
      </c>
      <c r="I233" t="s">
        <v>19</v>
      </c>
    </row>
    <row r="234" spans="1:9" ht="15.75" x14ac:dyDescent="0.25">
      <c r="A234" s="3">
        <v>10684</v>
      </c>
      <c r="B234" s="4">
        <v>44918</v>
      </c>
      <c r="C234" t="s">
        <v>16</v>
      </c>
      <c r="D234" s="5">
        <v>5</v>
      </c>
      <c r="E234" s="6">
        <v>200.40080160320599</v>
      </c>
      <c r="F234" s="3" t="s">
        <v>17</v>
      </c>
      <c r="G234" s="3" t="s">
        <v>36</v>
      </c>
      <c r="H234" s="7" t="s">
        <v>34</v>
      </c>
      <c r="I234" t="s">
        <v>19</v>
      </c>
    </row>
    <row r="235" spans="1:9" ht="15.75" x14ac:dyDescent="0.25">
      <c r="A235" s="3">
        <v>10685</v>
      </c>
      <c r="B235" s="4">
        <v>44919</v>
      </c>
      <c r="C235" t="s">
        <v>20</v>
      </c>
      <c r="D235" s="5">
        <v>13</v>
      </c>
      <c r="E235" s="6">
        <v>677.44418783679703</v>
      </c>
      <c r="F235" s="3" t="s">
        <v>17</v>
      </c>
      <c r="G235" s="3" t="s">
        <v>36</v>
      </c>
      <c r="H235" s="7" t="s">
        <v>34</v>
      </c>
      <c r="I235" t="s">
        <v>19</v>
      </c>
    </row>
    <row r="236" spans="1:9" ht="15.75" x14ac:dyDescent="0.25">
      <c r="A236" s="3">
        <v>10686</v>
      </c>
      <c r="B236" s="4">
        <v>44919</v>
      </c>
      <c r="C236" t="s">
        <v>24</v>
      </c>
      <c r="D236" s="5">
        <v>10</v>
      </c>
      <c r="E236" s="6">
        <v>241.206030150754</v>
      </c>
      <c r="F236" s="3" t="s">
        <v>17</v>
      </c>
      <c r="G236" s="3" t="s">
        <v>36</v>
      </c>
      <c r="H236" s="7" t="s">
        <v>34</v>
      </c>
      <c r="I236" t="s">
        <v>19</v>
      </c>
    </row>
    <row r="237" spans="1:9" x14ac:dyDescent="0.25">
      <c r="A237" s="3">
        <v>10687</v>
      </c>
      <c r="B237" s="4">
        <v>44919</v>
      </c>
      <c r="C237" t="s">
        <v>8</v>
      </c>
      <c r="D237" s="5">
        <v>4</v>
      </c>
      <c r="E237" s="6">
        <v>630.37249283667597</v>
      </c>
      <c r="F237" s="3" t="s">
        <v>17</v>
      </c>
      <c r="G237" s="3" t="s">
        <v>36</v>
      </c>
      <c r="H237" t="s">
        <v>22</v>
      </c>
      <c r="I237" t="s">
        <v>23</v>
      </c>
    </row>
    <row r="238" spans="1:9" x14ac:dyDescent="0.25">
      <c r="A238" s="3">
        <v>10688</v>
      </c>
      <c r="B238" s="4">
        <v>44919</v>
      </c>
      <c r="C238" t="s">
        <v>13</v>
      </c>
      <c r="D238" s="5">
        <v>3</v>
      </c>
      <c r="E238" s="6">
        <v>677.96610169491498</v>
      </c>
      <c r="F238" s="3" t="s">
        <v>17</v>
      </c>
      <c r="G238" s="3" t="s">
        <v>36</v>
      </c>
      <c r="H238" t="s">
        <v>22</v>
      </c>
      <c r="I238" t="s">
        <v>23</v>
      </c>
    </row>
    <row r="239" spans="1:9" x14ac:dyDescent="0.25">
      <c r="A239" s="3">
        <v>10689</v>
      </c>
      <c r="B239" s="4">
        <v>44919</v>
      </c>
      <c r="C239" t="s">
        <v>16</v>
      </c>
      <c r="D239" s="5">
        <v>5</v>
      </c>
      <c r="E239" s="6">
        <v>200.40080160320599</v>
      </c>
      <c r="F239" s="3" t="s">
        <v>17</v>
      </c>
      <c r="G239" s="3" t="s">
        <v>36</v>
      </c>
      <c r="H239" t="s">
        <v>22</v>
      </c>
      <c r="I239" t="s">
        <v>23</v>
      </c>
    </row>
    <row r="240" spans="1:9" x14ac:dyDescent="0.25">
      <c r="A240" s="3">
        <v>10690</v>
      </c>
      <c r="B240" s="4">
        <v>44920</v>
      </c>
      <c r="C240" t="s">
        <v>20</v>
      </c>
      <c r="D240" s="5">
        <v>13</v>
      </c>
      <c r="E240" s="6">
        <v>677.44418783679703</v>
      </c>
      <c r="F240" s="3" t="s">
        <v>17</v>
      </c>
      <c r="G240" s="3" t="s">
        <v>36</v>
      </c>
      <c r="H240" t="s">
        <v>22</v>
      </c>
      <c r="I240" t="s">
        <v>23</v>
      </c>
    </row>
    <row r="241" spans="1:9" x14ac:dyDescent="0.25">
      <c r="A241" s="3">
        <v>10691</v>
      </c>
      <c r="B241" s="4">
        <v>44920</v>
      </c>
      <c r="C241" t="s">
        <v>24</v>
      </c>
      <c r="D241" s="5">
        <v>10</v>
      </c>
      <c r="E241" s="6">
        <v>261.306532663317</v>
      </c>
      <c r="F241" s="3" t="s">
        <v>17</v>
      </c>
      <c r="G241" s="3" t="s">
        <v>36</v>
      </c>
      <c r="H241" t="s">
        <v>22</v>
      </c>
      <c r="I241" t="s">
        <v>23</v>
      </c>
    </row>
    <row r="242" spans="1:9" x14ac:dyDescent="0.25">
      <c r="A242" s="3">
        <v>10692</v>
      </c>
      <c r="B242" s="4">
        <v>44920</v>
      </c>
      <c r="C242" t="s">
        <v>8</v>
      </c>
      <c r="D242" s="5">
        <v>4</v>
      </c>
      <c r="E242" s="6">
        <v>630.37249283667597</v>
      </c>
      <c r="F242" s="3" t="s">
        <v>17</v>
      </c>
      <c r="G242" s="3" t="s">
        <v>36</v>
      </c>
      <c r="H242" t="s">
        <v>22</v>
      </c>
      <c r="I242" t="s">
        <v>23</v>
      </c>
    </row>
    <row r="243" spans="1:9" x14ac:dyDescent="0.25">
      <c r="A243" s="3">
        <v>10693</v>
      </c>
      <c r="B243" s="4">
        <v>44920</v>
      </c>
      <c r="C243" t="s">
        <v>13</v>
      </c>
      <c r="D243" s="5">
        <v>3</v>
      </c>
      <c r="E243" s="6">
        <v>677.96610169491498</v>
      </c>
      <c r="F243" s="3" t="s">
        <v>17</v>
      </c>
      <c r="G243" s="3" t="s">
        <v>36</v>
      </c>
      <c r="H243" t="s">
        <v>22</v>
      </c>
      <c r="I243" t="s">
        <v>23</v>
      </c>
    </row>
    <row r="244" spans="1:9" x14ac:dyDescent="0.25">
      <c r="A244" s="3">
        <v>10694</v>
      </c>
      <c r="B244" s="4">
        <v>44920</v>
      </c>
      <c r="C244" t="s">
        <v>16</v>
      </c>
      <c r="D244" s="5">
        <v>5</v>
      </c>
      <c r="E244" s="6">
        <v>200.40080160320599</v>
      </c>
      <c r="F244" s="3" t="s">
        <v>17</v>
      </c>
      <c r="G244" s="3" t="s">
        <v>36</v>
      </c>
      <c r="H244" t="s">
        <v>22</v>
      </c>
      <c r="I244" t="s">
        <v>23</v>
      </c>
    </row>
    <row r="245" spans="1:9" x14ac:dyDescent="0.25">
      <c r="A245" s="3">
        <v>10695</v>
      </c>
      <c r="B245" s="4">
        <v>44921</v>
      </c>
      <c r="C245" t="s">
        <v>20</v>
      </c>
      <c r="D245" s="5">
        <v>13</v>
      </c>
      <c r="E245" s="6">
        <v>692.84064665127005</v>
      </c>
      <c r="F245" s="3" t="s">
        <v>17</v>
      </c>
      <c r="G245" s="3" t="s">
        <v>36</v>
      </c>
      <c r="H245" t="s">
        <v>22</v>
      </c>
      <c r="I245" t="s">
        <v>23</v>
      </c>
    </row>
    <row r="246" spans="1:9" x14ac:dyDescent="0.25">
      <c r="A246" s="3">
        <v>10696</v>
      </c>
      <c r="B246" s="4">
        <v>44921</v>
      </c>
      <c r="C246" t="s">
        <v>24</v>
      </c>
      <c r="D246" s="5">
        <v>10</v>
      </c>
      <c r="E246" s="6">
        <v>281.407035175879</v>
      </c>
      <c r="F246" s="3" t="s">
        <v>17</v>
      </c>
      <c r="G246" s="3" t="s">
        <v>36</v>
      </c>
      <c r="H246" t="s">
        <v>22</v>
      </c>
      <c r="I246" t="s">
        <v>23</v>
      </c>
    </row>
    <row r="247" spans="1:9" x14ac:dyDescent="0.25">
      <c r="A247" s="3">
        <v>10697</v>
      </c>
      <c r="B247" s="4">
        <v>44921</v>
      </c>
      <c r="C247" t="s">
        <v>8</v>
      </c>
      <c r="D247" s="5">
        <v>4</v>
      </c>
      <c r="E247" s="6">
        <v>630.37249283667597</v>
      </c>
      <c r="F247" s="3" t="s">
        <v>17</v>
      </c>
      <c r="G247" s="3" t="s">
        <v>36</v>
      </c>
      <c r="H247" t="s">
        <v>22</v>
      </c>
      <c r="I247" t="s">
        <v>23</v>
      </c>
    </row>
    <row r="248" spans="1:9" x14ac:dyDescent="0.25">
      <c r="A248" s="3">
        <v>10698</v>
      </c>
      <c r="B248" s="4">
        <v>44921</v>
      </c>
      <c r="C248" t="s">
        <v>13</v>
      </c>
      <c r="D248" s="5">
        <v>3</v>
      </c>
      <c r="E248" s="6">
        <v>677.96610169491498</v>
      </c>
      <c r="F248" s="3" t="s">
        <v>17</v>
      </c>
      <c r="G248" s="3" t="s">
        <v>36</v>
      </c>
      <c r="H248" t="s">
        <v>22</v>
      </c>
      <c r="I248" t="s">
        <v>23</v>
      </c>
    </row>
    <row r="249" spans="1:9" x14ac:dyDescent="0.25">
      <c r="A249" s="3">
        <v>10699</v>
      </c>
      <c r="B249" s="4">
        <v>44921</v>
      </c>
      <c r="C249" t="s">
        <v>16</v>
      </c>
      <c r="D249" s="5">
        <v>5</v>
      </c>
      <c r="E249" s="6">
        <v>200.40080160320599</v>
      </c>
      <c r="F249" s="3" t="s">
        <v>17</v>
      </c>
      <c r="G249" s="3" t="s">
        <v>36</v>
      </c>
      <c r="H249" t="s">
        <v>22</v>
      </c>
      <c r="I249" t="s">
        <v>23</v>
      </c>
    </row>
    <row r="250" spans="1:9" x14ac:dyDescent="0.25">
      <c r="A250" s="3">
        <v>10700</v>
      </c>
      <c r="B250" s="4">
        <v>44922</v>
      </c>
      <c r="C250" t="s">
        <v>20</v>
      </c>
      <c r="D250" s="5">
        <v>13</v>
      </c>
      <c r="E250" s="6">
        <v>692.84064665127005</v>
      </c>
      <c r="F250" s="3" t="s">
        <v>17</v>
      </c>
      <c r="G250" s="3" t="s">
        <v>36</v>
      </c>
      <c r="H250" t="s">
        <v>22</v>
      </c>
      <c r="I250" t="s">
        <v>23</v>
      </c>
    </row>
    <row r="251" spans="1:9" x14ac:dyDescent="0.25">
      <c r="A251" s="3">
        <v>10701</v>
      </c>
      <c r="B251" s="4">
        <v>44922</v>
      </c>
      <c r="C251" t="s">
        <v>24</v>
      </c>
      <c r="D251" s="5">
        <v>10</v>
      </c>
      <c r="E251" s="6">
        <v>281.407035175879</v>
      </c>
      <c r="F251" s="3" t="s">
        <v>17</v>
      </c>
      <c r="G251" s="3" t="s">
        <v>36</v>
      </c>
      <c r="H251" t="s">
        <v>22</v>
      </c>
      <c r="I251" t="s">
        <v>23</v>
      </c>
    </row>
    <row r="252" spans="1:9" x14ac:dyDescent="0.25">
      <c r="A252" s="3">
        <v>10702</v>
      </c>
      <c r="B252" s="4">
        <v>44922</v>
      </c>
      <c r="C252" t="s">
        <v>8</v>
      </c>
      <c r="D252" s="5">
        <v>4</v>
      </c>
      <c r="E252" s="6">
        <v>630.37249283667597</v>
      </c>
      <c r="F252" s="3" t="s">
        <v>17</v>
      </c>
      <c r="G252" s="3" t="s">
        <v>36</v>
      </c>
      <c r="H252" t="s">
        <v>22</v>
      </c>
      <c r="I252" t="s">
        <v>23</v>
      </c>
    </row>
    <row r="253" spans="1:9" x14ac:dyDescent="0.25">
      <c r="A253" s="3">
        <v>10703</v>
      </c>
      <c r="B253" s="4">
        <v>44922</v>
      </c>
      <c r="C253" t="s">
        <v>13</v>
      </c>
      <c r="D253" s="5">
        <v>3</v>
      </c>
      <c r="E253" s="6">
        <v>677.96610169491498</v>
      </c>
      <c r="F253" s="3" t="s">
        <v>17</v>
      </c>
      <c r="G253" s="3" t="s">
        <v>10</v>
      </c>
      <c r="H253" t="s">
        <v>22</v>
      </c>
      <c r="I253" t="s">
        <v>23</v>
      </c>
    </row>
    <row r="254" spans="1:9" x14ac:dyDescent="0.25">
      <c r="A254" s="3">
        <v>10704</v>
      </c>
      <c r="B254" s="4">
        <v>44922</v>
      </c>
      <c r="C254" t="s">
        <v>16</v>
      </c>
      <c r="D254" s="5">
        <v>5</v>
      </c>
      <c r="E254" s="6">
        <v>200.40080160320599</v>
      </c>
      <c r="F254" s="3" t="s">
        <v>35</v>
      </c>
      <c r="G254" s="3" t="s">
        <v>10</v>
      </c>
      <c r="H254" t="s">
        <v>22</v>
      </c>
      <c r="I254" t="s">
        <v>23</v>
      </c>
    </row>
    <row r="255" spans="1:9" x14ac:dyDescent="0.25">
      <c r="A255" s="3">
        <v>10705</v>
      </c>
      <c r="B255" s="4">
        <v>44923</v>
      </c>
      <c r="C255" t="s">
        <v>20</v>
      </c>
      <c r="D255" s="5">
        <v>13</v>
      </c>
      <c r="E255" s="6">
        <v>723.63356428021598</v>
      </c>
      <c r="F255" s="3" t="s">
        <v>35</v>
      </c>
      <c r="G255" s="3" t="s">
        <v>10</v>
      </c>
      <c r="H255" t="s">
        <v>22</v>
      </c>
      <c r="I255" t="s">
        <v>23</v>
      </c>
    </row>
    <row r="256" spans="1:9" x14ac:dyDescent="0.25">
      <c r="A256" s="3">
        <v>10706</v>
      </c>
      <c r="B256" s="4">
        <v>44923</v>
      </c>
      <c r="C256" t="s">
        <v>24</v>
      </c>
      <c r="D256" s="5">
        <v>10</v>
      </c>
      <c r="E256" s="6">
        <v>301.50753768844203</v>
      </c>
      <c r="F256" s="3" t="s">
        <v>35</v>
      </c>
      <c r="G256" s="3" t="s">
        <v>10</v>
      </c>
      <c r="H256" t="s">
        <v>22</v>
      </c>
      <c r="I256" t="s">
        <v>23</v>
      </c>
    </row>
    <row r="257" spans="1:9" x14ac:dyDescent="0.25">
      <c r="A257" s="3">
        <v>10707</v>
      </c>
      <c r="B257" s="4">
        <v>44923</v>
      </c>
      <c r="C257" t="s">
        <v>8</v>
      </c>
      <c r="D257" s="5">
        <v>4</v>
      </c>
      <c r="E257" s="6">
        <v>630.37249283667597</v>
      </c>
      <c r="F257" s="3" t="s">
        <v>35</v>
      </c>
      <c r="G257" s="3" t="s">
        <v>10</v>
      </c>
      <c r="H257" t="s">
        <v>22</v>
      </c>
      <c r="I257" t="s">
        <v>23</v>
      </c>
    </row>
    <row r="258" spans="1:9" x14ac:dyDescent="0.25">
      <c r="A258" s="3">
        <v>10708</v>
      </c>
      <c r="B258" s="4">
        <v>44923</v>
      </c>
      <c r="C258" t="s">
        <v>13</v>
      </c>
      <c r="D258" s="5">
        <v>3</v>
      </c>
      <c r="E258" s="6">
        <v>677.96610169491498</v>
      </c>
      <c r="F258" s="3" t="s">
        <v>35</v>
      </c>
      <c r="G258" s="3" t="s">
        <v>10</v>
      </c>
      <c r="H258" t="s">
        <v>22</v>
      </c>
      <c r="I258" t="s">
        <v>23</v>
      </c>
    </row>
    <row r="259" spans="1:9" x14ac:dyDescent="0.25">
      <c r="A259" s="3">
        <v>10709</v>
      </c>
      <c r="B259" s="4">
        <v>44923</v>
      </c>
      <c r="C259" t="s">
        <v>16</v>
      </c>
      <c r="D259" s="5">
        <v>5</v>
      </c>
      <c r="E259" s="6">
        <v>200.40080160320599</v>
      </c>
      <c r="F259" s="3" t="s">
        <v>35</v>
      </c>
      <c r="G259" s="3" t="s">
        <v>10</v>
      </c>
      <c r="H259" t="s">
        <v>22</v>
      </c>
      <c r="I259" t="s">
        <v>23</v>
      </c>
    </row>
    <row r="260" spans="1:9" x14ac:dyDescent="0.25">
      <c r="A260" s="3">
        <v>10710</v>
      </c>
      <c r="B260" s="4">
        <v>44924</v>
      </c>
      <c r="C260" t="s">
        <v>20</v>
      </c>
      <c r="D260" s="5">
        <v>13</v>
      </c>
      <c r="E260" s="6">
        <v>754.426481909161</v>
      </c>
      <c r="F260" s="3" t="s">
        <v>35</v>
      </c>
      <c r="G260" s="3" t="s">
        <v>10</v>
      </c>
      <c r="H260" t="s">
        <v>22</v>
      </c>
      <c r="I260" t="s">
        <v>23</v>
      </c>
    </row>
    <row r="261" spans="1:9" x14ac:dyDescent="0.25">
      <c r="A261" s="3">
        <v>10711</v>
      </c>
      <c r="B261" s="4">
        <v>44924</v>
      </c>
      <c r="C261" t="s">
        <v>24</v>
      </c>
      <c r="D261" s="5">
        <v>10</v>
      </c>
      <c r="E261" s="6">
        <v>281.407035175879</v>
      </c>
      <c r="F261" s="3" t="s">
        <v>35</v>
      </c>
      <c r="G261" s="3" t="s">
        <v>10</v>
      </c>
      <c r="H261" t="s">
        <v>22</v>
      </c>
      <c r="I261" t="s">
        <v>23</v>
      </c>
    </row>
    <row r="262" spans="1:9" x14ac:dyDescent="0.25">
      <c r="A262" s="3">
        <v>10712</v>
      </c>
      <c r="B262" s="4">
        <v>44924</v>
      </c>
      <c r="C262" t="s">
        <v>8</v>
      </c>
      <c r="D262" s="5">
        <v>4</v>
      </c>
      <c r="E262" s="6">
        <v>630.37249283667597</v>
      </c>
      <c r="F262" s="3" t="s">
        <v>35</v>
      </c>
      <c r="G262" s="3" t="s">
        <v>10</v>
      </c>
      <c r="H262" t="s">
        <v>22</v>
      </c>
      <c r="I262" t="s">
        <v>23</v>
      </c>
    </row>
    <row r="263" spans="1:9" x14ac:dyDescent="0.25">
      <c r="A263" s="3">
        <v>10713</v>
      </c>
      <c r="B263" s="4">
        <v>44924</v>
      </c>
      <c r="C263" t="s">
        <v>13</v>
      </c>
      <c r="D263" s="5">
        <v>3</v>
      </c>
      <c r="E263" s="6">
        <v>677.96610169491498</v>
      </c>
      <c r="F263" s="3" t="s">
        <v>35</v>
      </c>
      <c r="G263" s="3" t="s">
        <v>10</v>
      </c>
      <c r="H263" t="s">
        <v>22</v>
      </c>
      <c r="I26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CBC88-2671-43CC-8400-46394B5A4C92}">
  <dimension ref="A1:N259"/>
  <sheetViews>
    <sheetView zoomScaleNormal="100" workbookViewId="0">
      <selection activeCell="H15" sqref="H15"/>
    </sheetView>
  </sheetViews>
  <sheetFormatPr defaultRowHeight="15" x14ac:dyDescent="0.25"/>
  <cols>
    <col min="1" max="1" width="13.85546875" bestFit="1" customWidth="1"/>
    <col min="2" max="2" width="10.42578125" bestFit="1" customWidth="1"/>
    <col min="3" max="3" width="19.140625" bestFit="1" customWidth="1"/>
    <col min="4" max="4" width="11.140625" style="12" customWidth="1"/>
    <col min="5" max="5" width="19.140625" bestFit="1" customWidth="1"/>
    <col min="6" max="6" width="19.85546875" bestFit="1" customWidth="1"/>
    <col min="7" max="7" width="23" bestFit="1" customWidth="1"/>
    <col min="8" max="8" width="19.85546875" bestFit="1" customWidth="1"/>
    <col min="9" max="9" width="23" bestFit="1" customWidth="1"/>
    <col min="10" max="10" width="15.42578125" bestFit="1" customWidth="1"/>
    <col min="11" max="11" width="14.140625" bestFit="1" customWidth="1"/>
    <col min="12" max="12" width="17.140625" bestFit="1" customWidth="1"/>
    <col min="13" max="13" width="14" bestFit="1" customWidth="1"/>
    <col min="14" max="14" width="17.140625" bestFit="1" customWidth="1"/>
  </cols>
  <sheetData>
    <row r="1" spans="1:14" ht="15.75" x14ac:dyDescent="0.25">
      <c r="A1" s="1" t="s">
        <v>0</v>
      </c>
      <c r="B1" s="1" t="s">
        <v>1</v>
      </c>
      <c r="C1" s="1" t="s">
        <v>42</v>
      </c>
      <c r="D1" s="1" t="s">
        <v>43</v>
      </c>
      <c r="E1" s="1" t="s">
        <v>2</v>
      </c>
      <c r="F1" s="10" t="s">
        <v>38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39</v>
      </c>
      <c r="M1" s="1" t="s">
        <v>40</v>
      </c>
      <c r="N1" s="1" t="s">
        <v>41</v>
      </c>
    </row>
    <row r="2" spans="1:14" x14ac:dyDescent="0.25">
      <c r="A2" s="9">
        <v>10452</v>
      </c>
      <c r="B2" s="4">
        <v>44872</v>
      </c>
      <c r="C2" s="4" t="str">
        <f>TEXT(Table1[[#This Row],[Date]],"mmmm")</f>
        <v>November</v>
      </c>
      <c r="D2" s="4" t="str">
        <f>TEXT(Table1[[#This Row],[Date]],"dddd")</f>
        <v>Monday</v>
      </c>
      <c r="E2" t="s">
        <v>8</v>
      </c>
      <c r="F2" s="11">
        <v>4</v>
      </c>
      <c r="G2">
        <v>573</v>
      </c>
      <c r="H2" s="8" t="s">
        <v>9</v>
      </c>
      <c r="I2" s="8" t="s">
        <v>10</v>
      </c>
      <c r="J2" t="s">
        <v>37</v>
      </c>
      <c r="K2" t="s">
        <v>12</v>
      </c>
      <c r="L2" t="str" cm="1">
        <f t="array" ref="L2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2" s="12">
        <f>Table1[[#This Row],[Price]]*Table1[[#This Row],[Quantity]]</f>
        <v>2292</v>
      </c>
      <c r="N2" s="12" t="str" cm="1">
        <f t="array" ref="N2">_xlfn.IFS(Table1[[#This Row],[Revenue]]&lt;=3267,"Low Sales",Table1[[#This Row],[Revenue]]&lt;=6534,"Fair Sales",Table1[[#This Row],[Revenue]]&gt;6534,"High Sales")</f>
        <v>Low Sales</v>
      </c>
    </row>
    <row r="3" spans="1:14" x14ac:dyDescent="0.25">
      <c r="A3" s="9">
        <v>10453</v>
      </c>
      <c r="B3" s="4">
        <v>44872</v>
      </c>
      <c r="C3" s="4" t="str">
        <f>TEXT(Table1[[#This Row],[Date]],"mmmm")</f>
        <v>November</v>
      </c>
      <c r="D3" s="4" t="str">
        <f>TEXT(Table1[[#This Row],[Date]],"dddd")</f>
        <v>Monday</v>
      </c>
      <c r="E3" t="s">
        <v>13</v>
      </c>
      <c r="F3" s="11">
        <v>3</v>
      </c>
      <c r="G3">
        <v>746</v>
      </c>
      <c r="H3" s="8" t="s">
        <v>9</v>
      </c>
      <c r="I3" s="8" t="s">
        <v>10</v>
      </c>
      <c r="J3" t="s">
        <v>30</v>
      </c>
      <c r="K3" t="s">
        <v>15</v>
      </c>
      <c r="L3" t="str" cm="1">
        <f t="array" ref="L3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3" s="12">
        <f>Table1[[#This Row],[Price]]*Table1[[#This Row],[Quantity]]</f>
        <v>2238</v>
      </c>
      <c r="N3" s="12" t="str" cm="1">
        <f t="array" ref="N3">_xlfn.IFS(Table1[[#This Row],[Revenue]]&lt;=3267,"Low Sales",Table1[[#This Row],[Revenue]]&lt;=6534,"Fair Sales",Table1[[#This Row],[Revenue]]&gt;6534,"High Sales")</f>
        <v>Low Sales</v>
      </c>
    </row>
    <row r="4" spans="1:14" x14ac:dyDescent="0.25">
      <c r="A4" s="9">
        <v>10454</v>
      </c>
      <c r="B4" s="4">
        <v>44872</v>
      </c>
      <c r="C4" s="4" t="str">
        <f>TEXT(Table1[[#This Row],[Date]],"mmmm")</f>
        <v>November</v>
      </c>
      <c r="D4" s="4" t="str">
        <f>TEXT(Table1[[#This Row],[Date]],"dddd")</f>
        <v>Monday</v>
      </c>
      <c r="E4" t="s">
        <v>16</v>
      </c>
      <c r="F4" s="11">
        <v>5</v>
      </c>
      <c r="G4">
        <v>200</v>
      </c>
      <c r="H4" s="8" t="s">
        <v>17</v>
      </c>
      <c r="I4" s="8" t="s">
        <v>10</v>
      </c>
      <c r="J4" t="s">
        <v>34</v>
      </c>
      <c r="K4" t="s">
        <v>19</v>
      </c>
      <c r="L4" t="str" cm="1">
        <f t="array" ref="L4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4" s="12">
        <f>Table1[[#This Row],[Price]]*Table1[[#This Row],[Quantity]]</f>
        <v>1000</v>
      </c>
      <c r="N4" s="12" t="str" cm="1">
        <f t="array" ref="N4">_xlfn.IFS(Table1[[#This Row],[Revenue]]&lt;=3267,"Low Sales",Table1[[#This Row],[Revenue]]&lt;=6534,"Fair Sales",Table1[[#This Row],[Revenue]]&gt;6534,"High Sales")</f>
        <v>Low Sales</v>
      </c>
    </row>
    <row r="5" spans="1:14" x14ac:dyDescent="0.25">
      <c r="A5" s="9">
        <v>10455</v>
      </c>
      <c r="B5" s="4">
        <v>44873</v>
      </c>
      <c r="C5" s="4" t="str">
        <f>TEXT(Table1[[#This Row],[Date]],"mmmm")</f>
        <v>November</v>
      </c>
      <c r="D5" s="4" t="str">
        <f>TEXT(Table1[[#This Row],[Date]],"dddd")</f>
        <v>Tuesday</v>
      </c>
      <c r="E5" t="s">
        <v>20</v>
      </c>
      <c r="F5" s="11">
        <v>13</v>
      </c>
      <c r="G5">
        <v>570</v>
      </c>
      <c r="H5" s="8" t="s">
        <v>17</v>
      </c>
      <c r="I5" s="8" t="s">
        <v>21</v>
      </c>
      <c r="J5" t="s">
        <v>22</v>
      </c>
      <c r="K5" t="s">
        <v>23</v>
      </c>
      <c r="L5" t="str" cm="1">
        <f t="array" ref="L5">_xlfn.IFS(Table1[[#This Row],[City]]="Berlin","Germany",Table1[[#This Row],[City]]="Lisbon","Portugal",Table1[[#This Row],[City]]="London","United Kingdom",Table1[[#This Row],[City]]="Madrid","Spain",Table1[[#This Row],[City]]="Paris","France")</f>
        <v>Germany</v>
      </c>
      <c r="M5" s="12">
        <f>Table1[[#This Row],[Price]]*Table1[[#This Row],[Quantity]]</f>
        <v>7410</v>
      </c>
      <c r="N5" s="12" t="str" cm="1">
        <f t="array" ref="N5">_xlfn.IFS(Table1[[#This Row],[Revenue]]&lt;=3267,"Low Sales",Table1[[#This Row],[Revenue]]&lt;=6534,"Fair Sales",Table1[[#This Row],[Revenue]]&gt;6534,"High Sales")</f>
        <v>High Sales</v>
      </c>
    </row>
    <row r="6" spans="1:14" x14ac:dyDescent="0.25">
      <c r="A6" s="9">
        <v>10456</v>
      </c>
      <c r="B6" s="4">
        <v>44873</v>
      </c>
      <c r="C6" s="4" t="str">
        <f>TEXT(Table1[[#This Row],[Date]],"mmmm")</f>
        <v>November</v>
      </c>
      <c r="D6" s="4" t="str">
        <f>TEXT(Table1[[#This Row],[Date]],"dddd")</f>
        <v>Tuesday</v>
      </c>
      <c r="E6" t="s">
        <v>24</v>
      </c>
      <c r="F6" s="11">
        <v>10</v>
      </c>
      <c r="G6">
        <v>201</v>
      </c>
      <c r="H6" s="8" t="s">
        <v>17</v>
      </c>
      <c r="I6" s="8" t="s">
        <v>21</v>
      </c>
      <c r="J6" t="s">
        <v>22</v>
      </c>
      <c r="K6" t="s">
        <v>23</v>
      </c>
      <c r="L6" t="str" cm="1">
        <f t="array" ref="L6">_xlfn.IFS(Table1[[#This Row],[City]]="Berlin","Germany",Table1[[#This Row],[City]]="Lisbon","Portugal",Table1[[#This Row],[City]]="London","United Kingdom",Table1[[#This Row],[City]]="Madrid","Spain",Table1[[#This Row],[City]]="Paris","France")</f>
        <v>Germany</v>
      </c>
      <c r="M6" s="12">
        <f>Table1[[#This Row],[Price]]*Table1[[#This Row],[Quantity]]</f>
        <v>2010</v>
      </c>
      <c r="N6" s="12" t="str" cm="1">
        <f t="array" ref="N6">_xlfn.IFS(Table1[[#This Row],[Revenue]]&lt;=3267,"Low Sales",Table1[[#This Row],[Revenue]]&lt;=6534,"Fair Sales",Table1[[#This Row],[Revenue]]&gt;6534,"High Sales")</f>
        <v>Low Sales</v>
      </c>
    </row>
    <row r="7" spans="1:14" x14ac:dyDescent="0.25">
      <c r="A7" s="9">
        <v>10457</v>
      </c>
      <c r="B7" s="4">
        <v>44873</v>
      </c>
      <c r="C7" s="4" t="str">
        <f>TEXT(Table1[[#This Row],[Date]],"mmmm")</f>
        <v>November</v>
      </c>
      <c r="D7" s="4" t="str">
        <f>TEXT(Table1[[#This Row],[Date]],"dddd")</f>
        <v>Tuesday</v>
      </c>
      <c r="E7" t="s">
        <v>8</v>
      </c>
      <c r="F7" s="11">
        <v>4</v>
      </c>
      <c r="G7">
        <v>573</v>
      </c>
      <c r="H7" s="8" t="s">
        <v>17</v>
      </c>
      <c r="I7" s="8" t="s">
        <v>21</v>
      </c>
      <c r="J7" t="s">
        <v>27</v>
      </c>
      <c r="K7" t="s">
        <v>26</v>
      </c>
      <c r="L7" t="str" cm="1">
        <f t="array" ref="L7">_xlfn.IFS(Table1[[#This Row],[City]]="Berlin","Germany",Table1[[#This Row],[City]]="Lisbon","Portugal",Table1[[#This Row],[City]]="London","United Kingdom",Table1[[#This Row],[City]]="Madrid","Spain",Table1[[#This Row],[City]]="Paris","France")</f>
        <v>France</v>
      </c>
      <c r="M7" s="12">
        <f>Table1[[#This Row],[Price]]*Table1[[#This Row],[Quantity]]</f>
        <v>2292</v>
      </c>
      <c r="N7" s="12" t="str" cm="1">
        <f t="array" ref="N7">_xlfn.IFS(Table1[[#This Row],[Revenue]]&lt;=3267,"Low Sales",Table1[[#This Row],[Revenue]]&lt;=6534,"Fair Sales",Table1[[#This Row],[Revenue]]&gt;6534,"High Sales")</f>
        <v>Low Sales</v>
      </c>
    </row>
    <row r="8" spans="1:14" x14ac:dyDescent="0.25">
      <c r="A8" s="9">
        <v>10459</v>
      </c>
      <c r="B8" s="4">
        <v>44873</v>
      </c>
      <c r="C8" s="4" t="str">
        <f>TEXT(Table1[[#This Row],[Date]],"mmmm")</f>
        <v>November</v>
      </c>
      <c r="D8" s="4" t="str">
        <f>TEXT(Table1[[#This Row],[Date]],"dddd")</f>
        <v>Tuesday</v>
      </c>
      <c r="E8" t="s">
        <v>16</v>
      </c>
      <c r="F8" s="11">
        <v>5</v>
      </c>
      <c r="G8">
        <v>200</v>
      </c>
      <c r="H8" s="8" t="s">
        <v>17</v>
      </c>
      <c r="I8" s="8" t="s">
        <v>21</v>
      </c>
      <c r="J8" t="s">
        <v>22</v>
      </c>
      <c r="K8" t="s">
        <v>23</v>
      </c>
      <c r="L8" t="str" cm="1">
        <f t="array" ref="L8">_xlfn.IFS(Table1[[#This Row],[City]]="Berlin","Germany",Table1[[#This Row],[City]]="Lisbon","Portugal",Table1[[#This Row],[City]]="London","United Kingdom",Table1[[#This Row],[City]]="Madrid","Spain",Table1[[#This Row],[City]]="Paris","France")</f>
        <v>Germany</v>
      </c>
      <c r="M8" s="12">
        <f>Table1[[#This Row],[Price]]*Table1[[#This Row],[Quantity]]</f>
        <v>1000</v>
      </c>
      <c r="N8" s="12" t="str" cm="1">
        <f t="array" ref="N8">_xlfn.IFS(Table1[[#This Row],[Revenue]]&lt;=3267,"Low Sales",Table1[[#This Row],[Revenue]]&lt;=6534,"Fair Sales",Table1[[#This Row],[Revenue]]&gt;6534,"High Sales")</f>
        <v>Low Sales</v>
      </c>
    </row>
    <row r="9" spans="1:14" x14ac:dyDescent="0.25">
      <c r="A9" s="9">
        <v>10460</v>
      </c>
      <c r="B9" s="4">
        <v>44874</v>
      </c>
      <c r="C9" s="4" t="str">
        <f>TEXT(Table1[[#This Row],[Date]],"mmmm")</f>
        <v>November</v>
      </c>
      <c r="D9" s="4" t="str">
        <f>TEXT(Table1[[#This Row],[Date]],"dddd")</f>
        <v>Wednesday</v>
      </c>
      <c r="E9" t="s">
        <v>20</v>
      </c>
      <c r="F9" s="11">
        <v>13</v>
      </c>
      <c r="G9">
        <v>554</v>
      </c>
      <c r="H9" s="8" t="s">
        <v>17</v>
      </c>
      <c r="I9" s="8" t="s">
        <v>21</v>
      </c>
      <c r="J9" t="s">
        <v>27</v>
      </c>
      <c r="K9" t="s">
        <v>26</v>
      </c>
      <c r="L9" t="str" cm="1">
        <f t="array" ref="L9">_xlfn.IFS(Table1[[#This Row],[City]]="Berlin","Germany",Table1[[#This Row],[City]]="Lisbon","Portugal",Table1[[#This Row],[City]]="London","United Kingdom",Table1[[#This Row],[City]]="Madrid","Spain",Table1[[#This Row],[City]]="Paris","France")</f>
        <v>France</v>
      </c>
      <c r="M9" s="12">
        <f>Table1[[#This Row],[Price]]*Table1[[#This Row],[Quantity]]</f>
        <v>7202</v>
      </c>
      <c r="N9" s="12" t="str" cm="1">
        <f t="array" ref="N9">_xlfn.IFS(Table1[[#This Row],[Revenue]]&lt;=3267,"Low Sales",Table1[[#This Row],[Revenue]]&lt;=6534,"Fair Sales",Table1[[#This Row],[Revenue]]&gt;6534,"High Sales")</f>
        <v>High Sales</v>
      </c>
    </row>
    <row r="10" spans="1:14" x14ac:dyDescent="0.25">
      <c r="A10" s="9">
        <v>10461</v>
      </c>
      <c r="B10" s="4">
        <v>44874</v>
      </c>
      <c r="C10" s="4" t="str">
        <f>TEXT(Table1[[#This Row],[Date]],"mmmm")</f>
        <v>November</v>
      </c>
      <c r="D10" s="4" t="str">
        <f>TEXT(Table1[[#This Row],[Date]],"dddd")</f>
        <v>Wednesday</v>
      </c>
      <c r="E10" t="s">
        <v>24</v>
      </c>
      <c r="F10" s="11">
        <v>10</v>
      </c>
      <c r="G10">
        <v>201</v>
      </c>
      <c r="H10" s="8" t="s">
        <v>17</v>
      </c>
      <c r="I10" s="8" t="s">
        <v>21</v>
      </c>
      <c r="J10" t="s">
        <v>27</v>
      </c>
      <c r="K10" t="s">
        <v>26</v>
      </c>
      <c r="L10" t="str" cm="1">
        <f t="array" ref="L10">_xlfn.IFS(Table1[[#This Row],[City]]="Berlin","Germany",Table1[[#This Row],[City]]="Lisbon","Portugal",Table1[[#This Row],[City]]="London","United Kingdom",Table1[[#This Row],[City]]="Madrid","Spain",Table1[[#This Row],[City]]="Paris","France")</f>
        <v>France</v>
      </c>
      <c r="M10" s="12">
        <f>Table1[[#This Row],[Price]]*Table1[[#This Row],[Quantity]]</f>
        <v>2010</v>
      </c>
      <c r="N10" s="12" t="str" cm="1">
        <f t="array" ref="N10">_xlfn.IFS(Table1[[#This Row],[Revenue]]&lt;=3267,"Low Sales",Table1[[#This Row],[Revenue]]&lt;=6534,"Fair Sales",Table1[[#This Row],[Revenue]]&gt;6534,"High Sales")</f>
        <v>Low Sales</v>
      </c>
    </row>
    <row r="11" spans="1:14" x14ac:dyDescent="0.25">
      <c r="A11" s="9">
        <v>10462</v>
      </c>
      <c r="B11" s="4">
        <v>44874</v>
      </c>
      <c r="C11" s="4" t="str">
        <f>TEXT(Table1[[#This Row],[Date]],"mmmm")</f>
        <v>November</v>
      </c>
      <c r="D11" s="4" t="str">
        <f>TEXT(Table1[[#This Row],[Date]],"dddd")</f>
        <v>Wednesday</v>
      </c>
      <c r="E11" t="s">
        <v>8</v>
      </c>
      <c r="F11" s="11">
        <v>4</v>
      </c>
      <c r="G11">
        <v>573</v>
      </c>
      <c r="H11" s="8" t="s">
        <v>17</v>
      </c>
      <c r="I11" s="8" t="s">
        <v>21</v>
      </c>
      <c r="J11" t="s">
        <v>27</v>
      </c>
      <c r="K11" t="s">
        <v>26</v>
      </c>
      <c r="L11" t="str" cm="1">
        <f t="array" ref="L11">_xlfn.IFS(Table1[[#This Row],[City]]="Berlin","Germany",Table1[[#This Row],[City]]="Lisbon","Portugal",Table1[[#This Row],[City]]="London","United Kingdom",Table1[[#This Row],[City]]="Madrid","Spain",Table1[[#This Row],[City]]="Paris","France")</f>
        <v>France</v>
      </c>
      <c r="M11" s="12">
        <f>Table1[[#This Row],[Price]]*Table1[[#This Row],[Quantity]]</f>
        <v>2292</v>
      </c>
      <c r="N11" s="12" t="str" cm="1">
        <f t="array" ref="N11">_xlfn.IFS(Table1[[#This Row],[Revenue]]&lt;=3267,"Low Sales",Table1[[#This Row],[Revenue]]&lt;=6534,"Fair Sales",Table1[[#This Row],[Revenue]]&gt;6534,"High Sales")</f>
        <v>Low Sales</v>
      </c>
    </row>
    <row r="12" spans="1:14" x14ac:dyDescent="0.25">
      <c r="A12" s="9">
        <v>10463</v>
      </c>
      <c r="B12" s="4">
        <v>44874</v>
      </c>
      <c r="C12" s="4" t="str">
        <f>TEXT(Table1[[#This Row],[Date]],"mmmm")</f>
        <v>November</v>
      </c>
      <c r="D12" s="4" t="str">
        <f>TEXT(Table1[[#This Row],[Date]],"dddd")</f>
        <v>Wednesday</v>
      </c>
      <c r="E12" t="s">
        <v>13</v>
      </c>
      <c r="F12" s="11">
        <v>3</v>
      </c>
      <c r="G12">
        <v>678</v>
      </c>
      <c r="H12" s="8" t="s">
        <v>17</v>
      </c>
      <c r="I12" s="8" t="s">
        <v>21</v>
      </c>
      <c r="J12" t="s">
        <v>27</v>
      </c>
      <c r="K12" t="s">
        <v>26</v>
      </c>
      <c r="L12" t="str" cm="1">
        <f t="array" ref="L12">_xlfn.IFS(Table1[[#This Row],[City]]="Berlin","Germany",Table1[[#This Row],[City]]="Lisbon","Portugal",Table1[[#This Row],[City]]="London","United Kingdom",Table1[[#This Row],[City]]="Madrid","Spain",Table1[[#This Row],[City]]="Paris","France")</f>
        <v>France</v>
      </c>
      <c r="M12" s="12">
        <f>Table1[[#This Row],[Price]]*Table1[[#This Row],[Quantity]]</f>
        <v>2034</v>
      </c>
      <c r="N12" s="12" t="str" cm="1">
        <f t="array" ref="N12">_xlfn.IFS(Table1[[#This Row],[Revenue]]&lt;=3267,"Low Sales",Table1[[#This Row],[Revenue]]&lt;=6534,"Fair Sales",Table1[[#This Row],[Revenue]]&gt;6534,"High Sales")</f>
        <v>Low Sales</v>
      </c>
    </row>
    <row r="13" spans="1:14" x14ac:dyDescent="0.25">
      <c r="A13" s="9">
        <v>10464</v>
      </c>
      <c r="B13" s="4">
        <v>44874</v>
      </c>
      <c r="C13" s="4" t="str">
        <f>TEXT(Table1[[#This Row],[Date]],"mmmm")</f>
        <v>November</v>
      </c>
      <c r="D13" s="4" t="str">
        <f>TEXT(Table1[[#This Row],[Date]],"dddd")</f>
        <v>Wednesday</v>
      </c>
      <c r="E13" t="s">
        <v>16</v>
      </c>
      <c r="F13" s="11">
        <v>5</v>
      </c>
      <c r="G13">
        <v>200</v>
      </c>
      <c r="H13" s="8" t="s">
        <v>17</v>
      </c>
      <c r="I13" s="8" t="s">
        <v>21</v>
      </c>
      <c r="J13" t="s">
        <v>27</v>
      </c>
      <c r="K13" t="s">
        <v>26</v>
      </c>
      <c r="L13" t="str" cm="1">
        <f t="array" ref="L13">_xlfn.IFS(Table1[[#This Row],[City]]="Berlin","Germany",Table1[[#This Row],[City]]="Lisbon","Portugal",Table1[[#This Row],[City]]="London","United Kingdom",Table1[[#This Row],[City]]="Madrid","Spain",Table1[[#This Row],[City]]="Paris","France")</f>
        <v>France</v>
      </c>
      <c r="M13" s="12">
        <f>Table1[[#This Row],[Price]]*Table1[[#This Row],[Quantity]]</f>
        <v>1000</v>
      </c>
      <c r="N13" s="12" t="str" cm="1">
        <f t="array" ref="N13">_xlfn.IFS(Table1[[#This Row],[Revenue]]&lt;=3267,"Low Sales",Table1[[#This Row],[Revenue]]&lt;=6534,"Fair Sales",Table1[[#This Row],[Revenue]]&gt;6534,"High Sales")</f>
        <v>Low Sales</v>
      </c>
    </row>
    <row r="14" spans="1:14" x14ac:dyDescent="0.25">
      <c r="A14" s="9">
        <v>10465</v>
      </c>
      <c r="B14" s="4">
        <v>44875</v>
      </c>
      <c r="C14" s="4" t="str">
        <f>TEXT(Table1[[#This Row],[Date]],"mmmm")</f>
        <v>November</v>
      </c>
      <c r="D14" s="4" t="str">
        <f>TEXT(Table1[[#This Row],[Date]],"dddd")</f>
        <v>Thursday</v>
      </c>
      <c r="E14" t="s">
        <v>20</v>
      </c>
      <c r="F14" s="11">
        <v>13</v>
      </c>
      <c r="G14">
        <v>554</v>
      </c>
      <c r="H14" s="8" t="s">
        <v>17</v>
      </c>
      <c r="I14" s="8" t="s">
        <v>21</v>
      </c>
      <c r="J14" t="s">
        <v>30</v>
      </c>
      <c r="K14" t="s">
        <v>15</v>
      </c>
      <c r="L14" t="str" cm="1">
        <f t="array" ref="L14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14" s="12">
        <f>Table1[[#This Row],[Price]]*Table1[[#This Row],[Quantity]]</f>
        <v>7202</v>
      </c>
      <c r="N14" s="12" t="str" cm="1">
        <f t="array" ref="N14">_xlfn.IFS(Table1[[#This Row],[Revenue]]&lt;=3267,"Low Sales",Table1[[#This Row],[Revenue]]&lt;=6534,"Fair Sales",Table1[[#This Row],[Revenue]]&gt;6534,"High Sales")</f>
        <v>High Sales</v>
      </c>
    </row>
    <row r="15" spans="1:14" x14ac:dyDescent="0.25">
      <c r="A15" s="9">
        <v>10466</v>
      </c>
      <c r="B15" s="4">
        <v>44875</v>
      </c>
      <c r="C15" s="4" t="str">
        <f>TEXT(Table1[[#This Row],[Date]],"mmmm")</f>
        <v>November</v>
      </c>
      <c r="D15" s="4" t="str">
        <f>TEXT(Table1[[#This Row],[Date]],"dddd")</f>
        <v>Thursday</v>
      </c>
      <c r="E15" t="s">
        <v>24</v>
      </c>
      <c r="F15" s="11">
        <v>10</v>
      </c>
      <c r="G15">
        <v>201</v>
      </c>
      <c r="H15" s="8" t="s">
        <v>17</v>
      </c>
      <c r="I15" s="8" t="s">
        <v>21</v>
      </c>
      <c r="J15" t="s">
        <v>30</v>
      </c>
      <c r="K15" t="s">
        <v>15</v>
      </c>
      <c r="L15" t="str" cm="1">
        <f t="array" ref="L15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15" s="12">
        <f>Table1[[#This Row],[Price]]*Table1[[#This Row],[Quantity]]</f>
        <v>2010</v>
      </c>
      <c r="N15" s="12" t="str" cm="1">
        <f t="array" ref="N15">_xlfn.IFS(Table1[[#This Row],[Revenue]]&lt;=3267,"Low Sales",Table1[[#This Row],[Revenue]]&lt;=6534,"Fair Sales",Table1[[#This Row],[Revenue]]&gt;6534,"High Sales")</f>
        <v>Low Sales</v>
      </c>
    </row>
    <row r="16" spans="1:14" x14ac:dyDescent="0.25">
      <c r="A16" s="9">
        <v>10467</v>
      </c>
      <c r="B16" s="4">
        <v>44875</v>
      </c>
      <c r="C16" s="4" t="str">
        <f>TEXT(Table1[[#This Row],[Date]],"mmmm")</f>
        <v>November</v>
      </c>
      <c r="D16" s="4" t="str">
        <f>TEXT(Table1[[#This Row],[Date]],"dddd")</f>
        <v>Thursday</v>
      </c>
      <c r="E16" t="s">
        <v>8</v>
      </c>
      <c r="F16" s="11">
        <v>4</v>
      </c>
      <c r="G16">
        <v>573</v>
      </c>
      <c r="H16" s="8" t="s">
        <v>17</v>
      </c>
      <c r="I16" s="8" t="s">
        <v>21</v>
      </c>
      <c r="J16" t="s">
        <v>30</v>
      </c>
      <c r="K16" t="s">
        <v>15</v>
      </c>
      <c r="L16" t="str" cm="1">
        <f t="array" ref="L16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16" s="12">
        <f>Table1[[#This Row],[Price]]*Table1[[#This Row],[Quantity]]</f>
        <v>2292</v>
      </c>
      <c r="N16" s="12" t="str" cm="1">
        <f t="array" ref="N16">_xlfn.IFS(Table1[[#This Row],[Revenue]]&lt;=3267,"Low Sales",Table1[[#This Row],[Revenue]]&lt;=6534,"Fair Sales",Table1[[#This Row],[Revenue]]&gt;6534,"High Sales")</f>
        <v>Low Sales</v>
      </c>
    </row>
    <row r="17" spans="1:14" x14ac:dyDescent="0.25">
      <c r="A17" s="9">
        <v>10468</v>
      </c>
      <c r="B17" s="4">
        <v>44875</v>
      </c>
      <c r="C17" s="4" t="str">
        <f>TEXT(Table1[[#This Row],[Date]],"mmmm")</f>
        <v>November</v>
      </c>
      <c r="D17" s="4" t="str">
        <f>TEXT(Table1[[#This Row],[Date]],"dddd")</f>
        <v>Thursday</v>
      </c>
      <c r="E17" t="s">
        <v>13</v>
      </c>
      <c r="F17" s="11">
        <v>3</v>
      </c>
      <c r="G17">
        <v>678</v>
      </c>
      <c r="H17" s="8" t="s">
        <v>17</v>
      </c>
      <c r="I17" s="8" t="s">
        <v>21</v>
      </c>
      <c r="J17" t="s">
        <v>30</v>
      </c>
      <c r="K17" t="s">
        <v>15</v>
      </c>
      <c r="L17" t="str" cm="1">
        <f t="array" ref="L17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17" s="12">
        <f>Table1[[#This Row],[Price]]*Table1[[#This Row],[Quantity]]</f>
        <v>2034</v>
      </c>
      <c r="N17" s="12" t="str" cm="1">
        <f t="array" ref="N17">_xlfn.IFS(Table1[[#This Row],[Revenue]]&lt;=3267,"Low Sales",Table1[[#This Row],[Revenue]]&lt;=6534,"Fair Sales",Table1[[#This Row],[Revenue]]&gt;6534,"High Sales")</f>
        <v>Low Sales</v>
      </c>
    </row>
    <row r="18" spans="1:14" x14ac:dyDescent="0.25">
      <c r="A18" s="9">
        <v>10470</v>
      </c>
      <c r="B18" s="4">
        <v>44876</v>
      </c>
      <c r="C18" s="4" t="str">
        <f>TEXT(Table1[[#This Row],[Date]],"mmmm")</f>
        <v>November</v>
      </c>
      <c r="D18" s="4" t="str">
        <f>TEXT(Table1[[#This Row],[Date]],"dddd")</f>
        <v>Friday</v>
      </c>
      <c r="E18" t="s">
        <v>20</v>
      </c>
      <c r="F18" s="11">
        <v>13</v>
      </c>
      <c r="G18">
        <v>554</v>
      </c>
      <c r="H18" s="8" t="s">
        <v>17</v>
      </c>
      <c r="I18" s="8" t="s">
        <v>21</v>
      </c>
      <c r="J18" t="s">
        <v>30</v>
      </c>
      <c r="K18" t="s">
        <v>15</v>
      </c>
      <c r="L18" t="str" cm="1">
        <f t="array" ref="L18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18" s="12">
        <f>Table1[[#This Row],[Price]]*Table1[[#This Row],[Quantity]]</f>
        <v>7202</v>
      </c>
      <c r="N18" s="12" t="str" cm="1">
        <f t="array" ref="N18">_xlfn.IFS(Table1[[#This Row],[Revenue]]&lt;=3267,"Low Sales",Table1[[#This Row],[Revenue]]&lt;=6534,"Fair Sales",Table1[[#This Row],[Revenue]]&gt;6534,"High Sales")</f>
        <v>High Sales</v>
      </c>
    </row>
    <row r="19" spans="1:14" x14ac:dyDescent="0.25">
      <c r="A19" s="9">
        <v>10471</v>
      </c>
      <c r="B19" s="4">
        <v>44876</v>
      </c>
      <c r="C19" s="4" t="str">
        <f>TEXT(Table1[[#This Row],[Date]],"mmmm")</f>
        <v>November</v>
      </c>
      <c r="D19" s="4" t="str">
        <f>TEXT(Table1[[#This Row],[Date]],"dddd")</f>
        <v>Friday</v>
      </c>
      <c r="E19" t="s">
        <v>24</v>
      </c>
      <c r="F19" s="11">
        <v>10</v>
      </c>
      <c r="G19">
        <v>201</v>
      </c>
      <c r="H19" s="8" t="s">
        <v>17</v>
      </c>
      <c r="I19" s="8" t="s">
        <v>21</v>
      </c>
      <c r="J19" t="s">
        <v>30</v>
      </c>
      <c r="K19" t="s">
        <v>15</v>
      </c>
      <c r="L19" t="str" cm="1">
        <f t="array" ref="L19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19" s="12">
        <f>Table1[[#This Row],[Price]]*Table1[[#This Row],[Quantity]]</f>
        <v>2010</v>
      </c>
      <c r="N19" s="12" t="str" cm="1">
        <f t="array" ref="N19">_xlfn.IFS(Table1[[#This Row],[Revenue]]&lt;=3267,"Low Sales",Table1[[#This Row],[Revenue]]&lt;=6534,"Fair Sales",Table1[[#This Row],[Revenue]]&gt;6534,"High Sales")</f>
        <v>Low Sales</v>
      </c>
    </row>
    <row r="20" spans="1:14" x14ac:dyDescent="0.25">
      <c r="A20" s="9">
        <v>10472</v>
      </c>
      <c r="B20" s="4">
        <v>44876</v>
      </c>
      <c r="C20" s="4" t="str">
        <f>TEXT(Table1[[#This Row],[Date]],"mmmm")</f>
        <v>November</v>
      </c>
      <c r="D20" s="4" t="str">
        <f>TEXT(Table1[[#This Row],[Date]],"dddd")</f>
        <v>Friday</v>
      </c>
      <c r="E20" t="s">
        <v>8</v>
      </c>
      <c r="F20" s="11">
        <v>4</v>
      </c>
      <c r="G20">
        <v>630</v>
      </c>
      <c r="H20" s="8" t="s">
        <v>17</v>
      </c>
      <c r="I20" s="8" t="s">
        <v>21</v>
      </c>
      <c r="J20" t="s">
        <v>30</v>
      </c>
      <c r="K20" t="s">
        <v>15</v>
      </c>
      <c r="L20" t="str" cm="1">
        <f t="array" ref="L20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20" s="12">
        <f>Table1[[#This Row],[Price]]*Table1[[#This Row],[Quantity]]</f>
        <v>2520</v>
      </c>
      <c r="N20" s="12" t="str" cm="1">
        <f t="array" ref="N20">_xlfn.IFS(Table1[[#This Row],[Revenue]]&lt;=3267,"Low Sales",Table1[[#This Row],[Revenue]]&lt;=6534,"Fair Sales",Table1[[#This Row],[Revenue]]&gt;6534,"High Sales")</f>
        <v>Low Sales</v>
      </c>
    </row>
    <row r="21" spans="1:14" x14ac:dyDescent="0.25">
      <c r="A21" s="9">
        <v>10473</v>
      </c>
      <c r="B21" s="4">
        <v>44876</v>
      </c>
      <c r="C21" s="4" t="str">
        <f>TEXT(Table1[[#This Row],[Date]],"mmmm")</f>
        <v>November</v>
      </c>
      <c r="D21" s="4" t="str">
        <f>TEXT(Table1[[#This Row],[Date]],"dddd")</f>
        <v>Friday</v>
      </c>
      <c r="E21" t="s">
        <v>13</v>
      </c>
      <c r="F21" s="11">
        <v>3</v>
      </c>
      <c r="G21">
        <v>678</v>
      </c>
      <c r="H21" s="8" t="s">
        <v>17</v>
      </c>
      <c r="I21" s="8" t="s">
        <v>21</v>
      </c>
      <c r="J21" t="s">
        <v>30</v>
      </c>
      <c r="K21" t="s">
        <v>15</v>
      </c>
      <c r="L21" t="str" cm="1">
        <f t="array" ref="L21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21" s="12">
        <f>Table1[[#This Row],[Price]]*Table1[[#This Row],[Quantity]]</f>
        <v>2034</v>
      </c>
      <c r="N21" s="12" t="str" cm="1">
        <f t="array" ref="N21">_xlfn.IFS(Table1[[#This Row],[Revenue]]&lt;=3267,"Low Sales",Table1[[#This Row],[Revenue]]&lt;=6534,"Fair Sales",Table1[[#This Row],[Revenue]]&gt;6534,"High Sales")</f>
        <v>Low Sales</v>
      </c>
    </row>
    <row r="22" spans="1:14" x14ac:dyDescent="0.25">
      <c r="A22" s="9">
        <v>10474</v>
      </c>
      <c r="B22" s="4">
        <v>44876</v>
      </c>
      <c r="C22" s="4" t="str">
        <f>TEXT(Table1[[#This Row],[Date]],"mmmm")</f>
        <v>November</v>
      </c>
      <c r="D22" s="4" t="str">
        <f>TEXT(Table1[[#This Row],[Date]],"dddd")</f>
        <v>Friday</v>
      </c>
      <c r="E22" t="s">
        <v>16</v>
      </c>
      <c r="F22" s="11">
        <v>5</v>
      </c>
      <c r="G22">
        <v>200</v>
      </c>
      <c r="H22" s="8" t="s">
        <v>17</v>
      </c>
      <c r="I22" s="8" t="s">
        <v>21</v>
      </c>
      <c r="J22" t="s">
        <v>30</v>
      </c>
      <c r="K22" t="s">
        <v>15</v>
      </c>
      <c r="L22" t="str" cm="1">
        <f t="array" ref="L22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22" s="12">
        <f>Table1[[#This Row],[Price]]*Table1[[#This Row],[Quantity]]</f>
        <v>1000</v>
      </c>
      <c r="N22" s="12" t="str" cm="1">
        <f t="array" ref="N22">_xlfn.IFS(Table1[[#This Row],[Revenue]]&lt;=3267,"Low Sales",Table1[[#This Row],[Revenue]]&lt;=6534,"Fair Sales",Table1[[#This Row],[Revenue]]&gt;6534,"High Sales")</f>
        <v>Low Sales</v>
      </c>
    </row>
    <row r="23" spans="1:14" x14ac:dyDescent="0.25">
      <c r="A23" s="9">
        <v>10475</v>
      </c>
      <c r="B23" s="4">
        <v>44877</v>
      </c>
      <c r="C23" s="4" t="str">
        <f>TEXT(Table1[[#This Row],[Date]],"mmmm")</f>
        <v>November</v>
      </c>
      <c r="D23" s="4" t="str">
        <f>TEXT(Table1[[#This Row],[Date]],"dddd")</f>
        <v>Saturday</v>
      </c>
      <c r="E23" t="s">
        <v>20</v>
      </c>
      <c r="F23" s="11">
        <v>13</v>
      </c>
      <c r="G23">
        <v>523</v>
      </c>
      <c r="H23" s="8" t="s">
        <v>17</v>
      </c>
      <c r="I23" s="8" t="s">
        <v>21</v>
      </c>
      <c r="J23" t="s">
        <v>30</v>
      </c>
      <c r="K23" t="s">
        <v>15</v>
      </c>
      <c r="L23" t="str" cm="1">
        <f t="array" ref="L23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23" s="12">
        <f>Table1[[#This Row],[Price]]*Table1[[#This Row],[Quantity]]</f>
        <v>6799</v>
      </c>
      <c r="N23" s="12" t="str" cm="1">
        <f t="array" ref="N23">_xlfn.IFS(Table1[[#This Row],[Revenue]]&lt;=3267,"Low Sales",Table1[[#This Row],[Revenue]]&lt;=6534,"Fair Sales",Table1[[#This Row],[Revenue]]&gt;6534,"High Sales")</f>
        <v>High Sales</v>
      </c>
    </row>
    <row r="24" spans="1:14" x14ac:dyDescent="0.25">
      <c r="A24" s="9">
        <v>10476</v>
      </c>
      <c r="B24" s="4">
        <v>44877</v>
      </c>
      <c r="C24" s="4" t="str">
        <f>TEXT(Table1[[#This Row],[Date]],"mmmm")</f>
        <v>November</v>
      </c>
      <c r="D24" s="4" t="str">
        <f>TEXT(Table1[[#This Row],[Date]],"dddd")</f>
        <v>Saturday</v>
      </c>
      <c r="E24" t="s">
        <v>24</v>
      </c>
      <c r="F24" s="11">
        <v>10</v>
      </c>
      <c r="G24">
        <v>201</v>
      </c>
      <c r="H24" s="8" t="s">
        <v>17</v>
      </c>
      <c r="I24" s="8" t="s">
        <v>21</v>
      </c>
      <c r="J24" t="s">
        <v>30</v>
      </c>
      <c r="K24" t="s">
        <v>15</v>
      </c>
      <c r="L24" t="str" cm="1">
        <f t="array" ref="L24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24" s="12">
        <f>Table1[[#This Row],[Price]]*Table1[[#This Row],[Quantity]]</f>
        <v>2010</v>
      </c>
      <c r="N24" s="12" t="str" cm="1">
        <f t="array" ref="N24">_xlfn.IFS(Table1[[#This Row],[Revenue]]&lt;=3267,"Low Sales",Table1[[#This Row],[Revenue]]&lt;=6534,"Fair Sales",Table1[[#This Row],[Revenue]]&gt;6534,"High Sales")</f>
        <v>Low Sales</v>
      </c>
    </row>
    <row r="25" spans="1:14" x14ac:dyDescent="0.25">
      <c r="A25" s="9">
        <v>10477</v>
      </c>
      <c r="B25" s="4">
        <v>44877</v>
      </c>
      <c r="C25" s="4" t="str">
        <f>TEXT(Table1[[#This Row],[Date]],"mmmm")</f>
        <v>November</v>
      </c>
      <c r="D25" s="4" t="str">
        <f>TEXT(Table1[[#This Row],[Date]],"dddd")</f>
        <v>Saturday</v>
      </c>
      <c r="E25" t="s">
        <v>8</v>
      </c>
      <c r="F25" s="11">
        <v>4</v>
      </c>
      <c r="G25">
        <v>630</v>
      </c>
      <c r="H25" s="8" t="s">
        <v>17</v>
      </c>
      <c r="I25" s="8" t="s">
        <v>21</v>
      </c>
      <c r="J25" t="s">
        <v>30</v>
      </c>
      <c r="K25" t="s">
        <v>15</v>
      </c>
      <c r="L25" t="str" cm="1">
        <f t="array" ref="L25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25" s="12">
        <f>Table1[[#This Row],[Price]]*Table1[[#This Row],[Quantity]]</f>
        <v>2520</v>
      </c>
      <c r="N25" s="12" t="str" cm="1">
        <f t="array" ref="N25">_xlfn.IFS(Table1[[#This Row],[Revenue]]&lt;=3267,"Low Sales",Table1[[#This Row],[Revenue]]&lt;=6534,"Fair Sales",Table1[[#This Row],[Revenue]]&gt;6534,"High Sales")</f>
        <v>Low Sales</v>
      </c>
    </row>
    <row r="26" spans="1:14" x14ac:dyDescent="0.25">
      <c r="A26" s="9">
        <v>10478</v>
      </c>
      <c r="B26" s="4">
        <v>44877</v>
      </c>
      <c r="C26" s="4" t="str">
        <f>TEXT(Table1[[#This Row],[Date]],"mmmm")</f>
        <v>November</v>
      </c>
      <c r="D26" s="4" t="str">
        <f>TEXT(Table1[[#This Row],[Date]],"dddd")</f>
        <v>Saturday</v>
      </c>
      <c r="E26" t="s">
        <v>13</v>
      </c>
      <c r="F26" s="11">
        <v>3</v>
      </c>
      <c r="G26">
        <v>678</v>
      </c>
      <c r="H26" s="8" t="s">
        <v>17</v>
      </c>
      <c r="I26" s="8" t="s">
        <v>21</v>
      </c>
      <c r="J26" t="s">
        <v>30</v>
      </c>
      <c r="K26" t="s">
        <v>15</v>
      </c>
      <c r="L26" t="str" cm="1">
        <f t="array" ref="L26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26" s="12">
        <f>Table1[[#This Row],[Price]]*Table1[[#This Row],[Quantity]]</f>
        <v>2034</v>
      </c>
      <c r="N26" s="12" t="str" cm="1">
        <f t="array" ref="N26">_xlfn.IFS(Table1[[#This Row],[Revenue]]&lt;=3267,"Low Sales",Table1[[#This Row],[Revenue]]&lt;=6534,"Fair Sales",Table1[[#This Row],[Revenue]]&gt;6534,"High Sales")</f>
        <v>Low Sales</v>
      </c>
    </row>
    <row r="27" spans="1:14" x14ac:dyDescent="0.25">
      <c r="A27" s="9">
        <v>10479</v>
      </c>
      <c r="B27" s="4">
        <v>44877</v>
      </c>
      <c r="C27" s="4" t="str">
        <f>TEXT(Table1[[#This Row],[Date]],"mmmm")</f>
        <v>November</v>
      </c>
      <c r="D27" s="4" t="str">
        <f>TEXT(Table1[[#This Row],[Date]],"dddd")</f>
        <v>Saturday</v>
      </c>
      <c r="E27" t="s">
        <v>16</v>
      </c>
      <c r="F27" s="11">
        <v>5</v>
      </c>
      <c r="G27">
        <v>200</v>
      </c>
      <c r="H27" s="8" t="s">
        <v>17</v>
      </c>
      <c r="I27" s="8" t="s">
        <v>21</v>
      </c>
      <c r="J27" t="s">
        <v>30</v>
      </c>
      <c r="K27" t="s">
        <v>15</v>
      </c>
      <c r="L27" t="str" cm="1">
        <f t="array" ref="L27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27" s="12">
        <f>Table1[[#This Row],[Price]]*Table1[[#This Row],[Quantity]]</f>
        <v>1000</v>
      </c>
      <c r="N27" s="12" t="str" cm="1">
        <f t="array" ref="N27">_xlfn.IFS(Table1[[#This Row],[Revenue]]&lt;=3267,"Low Sales",Table1[[#This Row],[Revenue]]&lt;=6534,"Fair Sales",Table1[[#This Row],[Revenue]]&gt;6534,"High Sales")</f>
        <v>Low Sales</v>
      </c>
    </row>
    <row r="28" spans="1:14" x14ac:dyDescent="0.25">
      <c r="A28" s="9">
        <v>10480</v>
      </c>
      <c r="B28" s="4">
        <v>44878</v>
      </c>
      <c r="C28" s="4" t="str">
        <f>TEXT(Table1[[#This Row],[Date]],"mmmm")</f>
        <v>November</v>
      </c>
      <c r="D28" s="4" t="str">
        <f>TEXT(Table1[[#This Row],[Date]],"dddd")</f>
        <v>Sunday</v>
      </c>
      <c r="E28" t="s">
        <v>20</v>
      </c>
      <c r="F28" s="11">
        <v>13</v>
      </c>
      <c r="G28">
        <v>508</v>
      </c>
      <c r="H28" s="8" t="s">
        <v>17</v>
      </c>
      <c r="I28" s="8" t="s">
        <v>21</v>
      </c>
      <c r="J28" t="s">
        <v>30</v>
      </c>
      <c r="K28" t="s">
        <v>15</v>
      </c>
      <c r="L28" t="str" cm="1">
        <f t="array" ref="L28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28" s="12">
        <f>Table1[[#This Row],[Price]]*Table1[[#This Row],[Quantity]]</f>
        <v>6604</v>
      </c>
      <c r="N28" s="12" t="str" cm="1">
        <f t="array" ref="N28">_xlfn.IFS(Table1[[#This Row],[Revenue]]&lt;=3267,"Low Sales",Table1[[#This Row],[Revenue]]&lt;=6534,"Fair Sales",Table1[[#This Row],[Revenue]]&gt;6534,"High Sales")</f>
        <v>High Sales</v>
      </c>
    </row>
    <row r="29" spans="1:14" x14ac:dyDescent="0.25">
      <c r="A29" s="9">
        <v>10481</v>
      </c>
      <c r="B29" s="4">
        <v>44878</v>
      </c>
      <c r="C29" s="4" t="str">
        <f>TEXT(Table1[[#This Row],[Date]],"mmmm")</f>
        <v>November</v>
      </c>
      <c r="D29" s="4" t="str">
        <f>TEXT(Table1[[#This Row],[Date]],"dddd")</f>
        <v>Sunday</v>
      </c>
      <c r="E29" t="s">
        <v>24</v>
      </c>
      <c r="F29" s="11">
        <v>10</v>
      </c>
      <c r="G29">
        <v>201</v>
      </c>
      <c r="H29" s="8" t="s">
        <v>17</v>
      </c>
      <c r="I29" s="8" t="s">
        <v>21</v>
      </c>
      <c r="J29" t="s">
        <v>30</v>
      </c>
      <c r="K29" t="s">
        <v>15</v>
      </c>
      <c r="L29" t="str" cm="1">
        <f t="array" ref="L29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29" s="12">
        <f>Table1[[#This Row],[Price]]*Table1[[#This Row],[Quantity]]</f>
        <v>2010</v>
      </c>
      <c r="N29" s="12" t="str" cm="1">
        <f t="array" ref="N29">_xlfn.IFS(Table1[[#This Row],[Revenue]]&lt;=3267,"Low Sales",Table1[[#This Row],[Revenue]]&lt;=6534,"Fair Sales",Table1[[#This Row],[Revenue]]&gt;6534,"High Sales")</f>
        <v>Low Sales</v>
      </c>
    </row>
    <row r="30" spans="1:14" x14ac:dyDescent="0.25">
      <c r="A30" s="9">
        <v>10482</v>
      </c>
      <c r="B30" s="4">
        <v>44878</v>
      </c>
      <c r="C30" s="4" t="str">
        <f>TEXT(Table1[[#This Row],[Date]],"mmmm")</f>
        <v>November</v>
      </c>
      <c r="D30" s="4" t="str">
        <f>TEXT(Table1[[#This Row],[Date]],"dddd")</f>
        <v>Sunday</v>
      </c>
      <c r="E30" t="s">
        <v>8</v>
      </c>
      <c r="F30" s="11">
        <v>4</v>
      </c>
      <c r="G30">
        <v>630</v>
      </c>
      <c r="H30" s="8" t="s">
        <v>17</v>
      </c>
      <c r="I30" s="8" t="s">
        <v>21</v>
      </c>
      <c r="J30" t="s">
        <v>34</v>
      </c>
      <c r="K30" t="s">
        <v>19</v>
      </c>
      <c r="L30" t="str" cm="1">
        <f t="array" ref="L30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30" s="12">
        <f>Table1[[#This Row],[Price]]*Table1[[#This Row],[Quantity]]</f>
        <v>2520</v>
      </c>
      <c r="N30" s="12" t="str" cm="1">
        <f t="array" ref="N30">_xlfn.IFS(Table1[[#This Row],[Revenue]]&lt;=3267,"Low Sales",Table1[[#This Row],[Revenue]]&lt;=6534,"Fair Sales",Table1[[#This Row],[Revenue]]&gt;6534,"High Sales")</f>
        <v>Low Sales</v>
      </c>
    </row>
    <row r="31" spans="1:14" x14ac:dyDescent="0.25">
      <c r="A31" s="9">
        <v>10483</v>
      </c>
      <c r="B31" s="4">
        <v>44878</v>
      </c>
      <c r="C31" s="4" t="str">
        <f>TEXT(Table1[[#This Row],[Date]],"mmmm")</f>
        <v>November</v>
      </c>
      <c r="D31" s="4" t="str">
        <f>TEXT(Table1[[#This Row],[Date]],"dddd")</f>
        <v>Sunday</v>
      </c>
      <c r="E31" t="s">
        <v>13</v>
      </c>
      <c r="F31" s="11">
        <v>3</v>
      </c>
      <c r="G31">
        <v>678</v>
      </c>
      <c r="H31" s="8" t="s">
        <v>17</v>
      </c>
      <c r="I31" s="8" t="s">
        <v>21</v>
      </c>
      <c r="J31" t="s">
        <v>34</v>
      </c>
      <c r="K31" t="s">
        <v>19</v>
      </c>
      <c r="L31" t="str" cm="1">
        <f t="array" ref="L31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31" s="12">
        <f>Table1[[#This Row],[Price]]*Table1[[#This Row],[Quantity]]</f>
        <v>2034</v>
      </c>
      <c r="N31" s="12" t="str" cm="1">
        <f t="array" ref="N31">_xlfn.IFS(Table1[[#This Row],[Revenue]]&lt;=3267,"Low Sales",Table1[[#This Row],[Revenue]]&lt;=6534,"Fair Sales",Table1[[#This Row],[Revenue]]&gt;6534,"High Sales")</f>
        <v>Low Sales</v>
      </c>
    </row>
    <row r="32" spans="1:14" x14ac:dyDescent="0.25">
      <c r="A32" s="9">
        <v>10484</v>
      </c>
      <c r="B32" s="4">
        <v>44878</v>
      </c>
      <c r="C32" s="4" t="str">
        <f>TEXT(Table1[[#This Row],[Date]],"mmmm")</f>
        <v>November</v>
      </c>
      <c r="D32" s="4" t="str">
        <f>TEXT(Table1[[#This Row],[Date]],"dddd")</f>
        <v>Sunday</v>
      </c>
      <c r="E32" t="s">
        <v>16</v>
      </c>
      <c r="F32" s="11">
        <v>5</v>
      </c>
      <c r="G32">
        <v>200</v>
      </c>
      <c r="H32" s="8" t="s">
        <v>17</v>
      </c>
      <c r="I32" s="8" t="s">
        <v>21</v>
      </c>
      <c r="J32" t="s">
        <v>34</v>
      </c>
      <c r="K32" t="s">
        <v>19</v>
      </c>
      <c r="L32" t="str" cm="1">
        <f t="array" ref="L32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32" s="12">
        <f>Table1[[#This Row],[Price]]*Table1[[#This Row],[Quantity]]</f>
        <v>1000</v>
      </c>
      <c r="N32" s="12" t="str" cm="1">
        <f t="array" ref="N32">_xlfn.IFS(Table1[[#This Row],[Revenue]]&lt;=3267,"Low Sales",Table1[[#This Row],[Revenue]]&lt;=6534,"Fair Sales",Table1[[#This Row],[Revenue]]&gt;6534,"High Sales")</f>
        <v>Low Sales</v>
      </c>
    </row>
    <row r="33" spans="1:14" x14ac:dyDescent="0.25">
      <c r="A33" s="9">
        <v>10485</v>
      </c>
      <c r="B33" s="4">
        <v>44879</v>
      </c>
      <c r="C33" s="4" t="str">
        <f>TEXT(Table1[[#This Row],[Date]],"mmmm")</f>
        <v>November</v>
      </c>
      <c r="D33" s="4" t="str">
        <f>TEXT(Table1[[#This Row],[Date]],"dddd")</f>
        <v>Monday</v>
      </c>
      <c r="E33" t="s">
        <v>20</v>
      </c>
      <c r="F33" s="11">
        <v>13</v>
      </c>
      <c r="G33">
        <v>523</v>
      </c>
      <c r="H33" s="8" t="s">
        <v>17</v>
      </c>
      <c r="I33" s="8" t="s">
        <v>21</v>
      </c>
      <c r="J33" t="s">
        <v>34</v>
      </c>
      <c r="K33" t="s">
        <v>19</v>
      </c>
      <c r="L33" t="str" cm="1">
        <f t="array" ref="L33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33" s="12">
        <f>Table1[[#This Row],[Price]]*Table1[[#This Row],[Quantity]]</f>
        <v>6799</v>
      </c>
      <c r="N33" s="12" t="str" cm="1">
        <f t="array" ref="N33">_xlfn.IFS(Table1[[#This Row],[Revenue]]&lt;=3267,"Low Sales",Table1[[#This Row],[Revenue]]&lt;=6534,"Fair Sales",Table1[[#This Row],[Revenue]]&gt;6534,"High Sales")</f>
        <v>High Sales</v>
      </c>
    </row>
    <row r="34" spans="1:14" x14ac:dyDescent="0.25">
      <c r="A34" s="9">
        <v>10486</v>
      </c>
      <c r="B34" s="4">
        <v>44879</v>
      </c>
      <c r="C34" s="4" t="str">
        <f>TEXT(Table1[[#This Row],[Date]],"mmmm")</f>
        <v>November</v>
      </c>
      <c r="D34" s="4" t="str">
        <f>TEXT(Table1[[#This Row],[Date]],"dddd")</f>
        <v>Monday</v>
      </c>
      <c r="E34" t="s">
        <v>24</v>
      </c>
      <c r="F34" s="11">
        <v>10</v>
      </c>
      <c r="G34">
        <v>201</v>
      </c>
      <c r="H34" s="8" t="s">
        <v>17</v>
      </c>
      <c r="I34" s="8" t="s">
        <v>21</v>
      </c>
      <c r="J34" t="s">
        <v>34</v>
      </c>
      <c r="K34" t="s">
        <v>19</v>
      </c>
      <c r="L34" t="str" cm="1">
        <f t="array" ref="L34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34" s="12">
        <f>Table1[[#This Row],[Price]]*Table1[[#This Row],[Quantity]]</f>
        <v>2010</v>
      </c>
      <c r="N34" s="12" t="str" cm="1">
        <f t="array" ref="N34">_xlfn.IFS(Table1[[#This Row],[Revenue]]&lt;=3267,"Low Sales",Table1[[#This Row],[Revenue]]&lt;=6534,"Fair Sales",Table1[[#This Row],[Revenue]]&gt;6534,"High Sales")</f>
        <v>Low Sales</v>
      </c>
    </row>
    <row r="35" spans="1:14" x14ac:dyDescent="0.25">
      <c r="A35" s="9">
        <v>10487</v>
      </c>
      <c r="B35" s="4">
        <v>44879</v>
      </c>
      <c r="C35" s="4" t="str">
        <f>TEXT(Table1[[#This Row],[Date]],"mmmm")</f>
        <v>November</v>
      </c>
      <c r="D35" s="4" t="str">
        <f>TEXT(Table1[[#This Row],[Date]],"dddd")</f>
        <v>Monday</v>
      </c>
      <c r="E35" t="s">
        <v>8</v>
      </c>
      <c r="F35" s="11">
        <v>4</v>
      </c>
      <c r="G35">
        <v>630</v>
      </c>
      <c r="H35" s="8" t="s">
        <v>17</v>
      </c>
      <c r="I35" s="8" t="s">
        <v>21</v>
      </c>
      <c r="J35" t="s">
        <v>34</v>
      </c>
      <c r="K35" t="s">
        <v>19</v>
      </c>
      <c r="L35" t="str" cm="1">
        <f t="array" ref="L35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35" s="12">
        <f>Table1[[#This Row],[Price]]*Table1[[#This Row],[Quantity]]</f>
        <v>2520</v>
      </c>
      <c r="N35" s="12" t="str" cm="1">
        <f t="array" ref="N35">_xlfn.IFS(Table1[[#This Row],[Revenue]]&lt;=3267,"Low Sales",Table1[[#This Row],[Revenue]]&lt;=6534,"Fair Sales",Table1[[#This Row],[Revenue]]&gt;6534,"High Sales")</f>
        <v>Low Sales</v>
      </c>
    </row>
    <row r="36" spans="1:14" x14ac:dyDescent="0.25">
      <c r="A36" s="9">
        <v>10488</v>
      </c>
      <c r="B36" s="4">
        <v>44879</v>
      </c>
      <c r="C36" s="4" t="str">
        <f>TEXT(Table1[[#This Row],[Date]],"mmmm")</f>
        <v>November</v>
      </c>
      <c r="D36" s="4" t="str">
        <f>TEXT(Table1[[#This Row],[Date]],"dddd")</f>
        <v>Monday</v>
      </c>
      <c r="E36" t="s">
        <v>13</v>
      </c>
      <c r="F36" s="11">
        <v>3</v>
      </c>
      <c r="G36">
        <v>678</v>
      </c>
      <c r="H36" s="8" t="s">
        <v>17</v>
      </c>
      <c r="I36" s="8" t="s">
        <v>21</v>
      </c>
      <c r="J36" t="s">
        <v>34</v>
      </c>
      <c r="K36" t="s">
        <v>19</v>
      </c>
      <c r="L36" t="str" cm="1">
        <f t="array" ref="L36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36" s="12">
        <f>Table1[[#This Row],[Price]]*Table1[[#This Row],[Quantity]]</f>
        <v>2034</v>
      </c>
      <c r="N36" s="12" t="str" cm="1">
        <f t="array" ref="N36">_xlfn.IFS(Table1[[#This Row],[Revenue]]&lt;=3267,"Low Sales",Table1[[#This Row],[Revenue]]&lt;=6534,"Fair Sales",Table1[[#This Row],[Revenue]]&gt;6534,"High Sales")</f>
        <v>Low Sales</v>
      </c>
    </row>
    <row r="37" spans="1:14" x14ac:dyDescent="0.25">
      <c r="A37" s="9">
        <v>10489</v>
      </c>
      <c r="B37" s="4">
        <v>44879</v>
      </c>
      <c r="C37" s="4" t="str">
        <f>TEXT(Table1[[#This Row],[Date]],"mmmm")</f>
        <v>November</v>
      </c>
      <c r="D37" s="4" t="str">
        <f>TEXT(Table1[[#This Row],[Date]],"dddd")</f>
        <v>Monday</v>
      </c>
      <c r="E37" t="s">
        <v>16</v>
      </c>
      <c r="F37" s="11">
        <v>5</v>
      </c>
      <c r="G37">
        <v>200</v>
      </c>
      <c r="H37" s="8" t="s">
        <v>17</v>
      </c>
      <c r="I37" s="8" t="s">
        <v>21</v>
      </c>
      <c r="J37" t="s">
        <v>30</v>
      </c>
      <c r="K37" t="s">
        <v>15</v>
      </c>
      <c r="L37" t="str" cm="1">
        <f t="array" ref="L37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37" s="12">
        <f>Table1[[#This Row],[Price]]*Table1[[#This Row],[Quantity]]</f>
        <v>1000</v>
      </c>
      <c r="N37" s="12" t="str" cm="1">
        <f t="array" ref="N37">_xlfn.IFS(Table1[[#This Row],[Revenue]]&lt;=3267,"Low Sales",Table1[[#This Row],[Revenue]]&lt;=6534,"Fair Sales",Table1[[#This Row],[Revenue]]&gt;6534,"High Sales")</f>
        <v>Low Sales</v>
      </c>
    </row>
    <row r="38" spans="1:14" x14ac:dyDescent="0.25">
      <c r="A38" s="9">
        <v>10490</v>
      </c>
      <c r="B38" s="4">
        <v>44880</v>
      </c>
      <c r="C38" s="4" t="str">
        <f>TEXT(Table1[[#This Row],[Date]],"mmmm")</f>
        <v>November</v>
      </c>
      <c r="D38" s="4" t="str">
        <f>TEXT(Table1[[#This Row],[Date]],"dddd")</f>
        <v>Tuesday</v>
      </c>
      <c r="E38" t="s">
        <v>20</v>
      </c>
      <c r="F38" s="11">
        <v>13</v>
      </c>
      <c r="G38">
        <v>508</v>
      </c>
      <c r="H38" s="8" t="s">
        <v>17</v>
      </c>
      <c r="I38" s="8" t="s">
        <v>21</v>
      </c>
      <c r="J38" t="s">
        <v>30</v>
      </c>
      <c r="K38" t="s">
        <v>15</v>
      </c>
      <c r="L38" t="str" cm="1">
        <f t="array" ref="L38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38" s="12">
        <f>Table1[[#This Row],[Price]]*Table1[[#This Row],[Quantity]]</f>
        <v>6604</v>
      </c>
      <c r="N38" s="12" t="str" cm="1">
        <f t="array" ref="N38">_xlfn.IFS(Table1[[#This Row],[Revenue]]&lt;=3267,"Low Sales",Table1[[#This Row],[Revenue]]&lt;=6534,"Fair Sales",Table1[[#This Row],[Revenue]]&gt;6534,"High Sales")</f>
        <v>High Sales</v>
      </c>
    </row>
    <row r="39" spans="1:14" x14ac:dyDescent="0.25">
      <c r="A39" s="9">
        <v>10491</v>
      </c>
      <c r="B39" s="4">
        <v>44880</v>
      </c>
      <c r="C39" s="4" t="str">
        <f>TEXT(Table1[[#This Row],[Date]],"mmmm")</f>
        <v>November</v>
      </c>
      <c r="D39" s="4" t="str">
        <f>TEXT(Table1[[#This Row],[Date]],"dddd")</f>
        <v>Tuesday</v>
      </c>
      <c r="E39" t="s">
        <v>24</v>
      </c>
      <c r="F39" s="11">
        <v>10</v>
      </c>
      <c r="G39">
        <v>201</v>
      </c>
      <c r="H39" s="8" t="s">
        <v>17</v>
      </c>
      <c r="I39" s="8" t="s">
        <v>21</v>
      </c>
      <c r="J39" t="s">
        <v>30</v>
      </c>
      <c r="K39" t="s">
        <v>15</v>
      </c>
      <c r="L39" t="str" cm="1">
        <f t="array" ref="L39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39" s="12">
        <f>Table1[[#This Row],[Price]]*Table1[[#This Row],[Quantity]]</f>
        <v>2010</v>
      </c>
      <c r="N39" s="12" t="str" cm="1">
        <f t="array" ref="N39">_xlfn.IFS(Table1[[#This Row],[Revenue]]&lt;=3267,"Low Sales",Table1[[#This Row],[Revenue]]&lt;=6534,"Fair Sales",Table1[[#This Row],[Revenue]]&gt;6534,"High Sales")</f>
        <v>Low Sales</v>
      </c>
    </row>
    <row r="40" spans="1:14" x14ac:dyDescent="0.25">
      <c r="A40" s="9">
        <v>10492</v>
      </c>
      <c r="B40" s="4">
        <v>44880</v>
      </c>
      <c r="C40" s="4" t="str">
        <f>TEXT(Table1[[#This Row],[Date]],"mmmm")</f>
        <v>November</v>
      </c>
      <c r="D40" s="4" t="str">
        <f>TEXT(Table1[[#This Row],[Date]],"dddd")</f>
        <v>Tuesday</v>
      </c>
      <c r="E40" t="s">
        <v>8</v>
      </c>
      <c r="F40" s="11">
        <v>4</v>
      </c>
      <c r="G40">
        <v>573</v>
      </c>
      <c r="H40" s="8" t="s">
        <v>17</v>
      </c>
      <c r="I40" s="8" t="s">
        <v>21</v>
      </c>
      <c r="J40" t="s">
        <v>30</v>
      </c>
      <c r="K40" t="s">
        <v>15</v>
      </c>
      <c r="L40" t="str" cm="1">
        <f t="array" ref="L40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40" s="12">
        <f>Table1[[#This Row],[Price]]*Table1[[#This Row],[Quantity]]</f>
        <v>2292</v>
      </c>
      <c r="N40" s="12" t="str" cm="1">
        <f t="array" ref="N40">_xlfn.IFS(Table1[[#This Row],[Revenue]]&lt;=3267,"Low Sales",Table1[[#This Row],[Revenue]]&lt;=6534,"Fair Sales",Table1[[#This Row],[Revenue]]&gt;6534,"High Sales")</f>
        <v>Low Sales</v>
      </c>
    </row>
    <row r="41" spans="1:14" x14ac:dyDescent="0.25">
      <c r="A41" s="9">
        <v>10493</v>
      </c>
      <c r="B41" s="4">
        <v>44880</v>
      </c>
      <c r="C41" s="4" t="str">
        <f>TEXT(Table1[[#This Row],[Date]],"mmmm")</f>
        <v>November</v>
      </c>
      <c r="D41" s="4" t="str">
        <f>TEXT(Table1[[#This Row],[Date]],"dddd")</f>
        <v>Tuesday</v>
      </c>
      <c r="E41" t="s">
        <v>13</v>
      </c>
      <c r="F41" s="11">
        <v>3</v>
      </c>
      <c r="G41">
        <v>678</v>
      </c>
      <c r="H41" s="8" t="s">
        <v>17</v>
      </c>
      <c r="I41" s="8" t="s">
        <v>21</v>
      </c>
      <c r="J41" t="s">
        <v>30</v>
      </c>
      <c r="K41" t="s">
        <v>15</v>
      </c>
      <c r="L41" t="str" cm="1">
        <f t="array" ref="L41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41" s="12">
        <f>Table1[[#This Row],[Price]]*Table1[[#This Row],[Quantity]]</f>
        <v>2034</v>
      </c>
      <c r="N41" s="12" t="str" cm="1">
        <f t="array" ref="N41">_xlfn.IFS(Table1[[#This Row],[Revenue]]&lt;=3267,"Low Sales",Table1[[#This Row],[Revenue]]&lt;=6534,"Fair Sales",Table1[[#This Row],[Revenue]]&gt;6534,"High Sales")</f>
        <v>Low Sales</v>
      </c>
    </row>
    <row r="42" spans="1:14" x14ac:dyDescent="0.25">
      <c r="A42" s="9">
        <v>10494</v>
      </c>
      <c r="B42" s="4">
        <v>44880</v>
      </c>
      <c r="C42" s="4" t="str">
        <f>TEXT(Table1[[#This Row],[Date]],"mmmm")</f>
        <v>November</v>
      </c>
      <c r="D42" s="4" t="str">
        <f>TEXT(Table1[[#This Row],[Date]],"dddd")</f>
        <v>Tuesday</v>
      </c>
      <c r="E42" t="s">
        <v>16</v>
      </c>
      <c r="F42" s="11">
        <v>5</v>
      </c>
      <c r="G42">
        <v>200</v>
      </c>
      <c r="H42" s="8" t="s">
        <v>17</v>
      </c>
      <c r="I42" s="8" t="s">
        <v>21</v>
      </c>
      <c r="J42" t="s">
        <v>30</v>
      </c>
      <c r="K42" t="s">
        <v>15</v>
      </c>
      <c r="L42" t="str" cm="1">
        <f t="array" ref="L42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42" s="12">
        <f>Table1[[#This Row],[Price]]*Table1[[#This Row],[Quantity]]</f>
        <v>1000</v>
      </c>
      <c r="N42" s="12" t="str" cm="1">
        <f t="array" ref="N42">_xlfn.IFS(Table1[[#This Row],[Revenue]]&lt;=3267,"Low Sales",Table1[[#This Row],[Revenue]]&lt;=6534,"Fair Sales",Table1[[#This Row],[Revenue]]&gt;6534,"High Sales")</f>
        <v>Low Sales</v>
      </c>
    </row>
    <row r="43" spans="1:14" x14ac:dyDescent="0.25">
      <c r="A43" s="9">
        <v>10495</v>
      </c>
      <c r="B43" s="4">
        <v>44881</v>
      </c>
      <c r="C43" s="4" t="str">
        <f>TEXT(Table1[[#This Row],[Date]],"mmmm")</f>
        <v>November</v>
      </c>
      <c r="D43" s="4" t="str">
        <f>TEXT(Table1[[#This Row],[Date]],"dddd")</f>
        <v>Wednesday</v>
      </c>
      <c r="E43" t="s">
        <v>20</v>
      </c>
      <c r="F43" s="11">
        <v>13</v>
      </c>
      <c r="G43">
        <v>508</v>
      </c>
      <c r="H43" s="8" t="s">
        <v>17</v>
      </c>
      <c r="I43" s="8" t="s">
        <v>21</v>
      </c>
      <c r="J43" t="s">
        <v>30</v>
      </c>
      <c r="K43" t="s">
        <v>15</v>
      </c>
      <c r="L43" t="str" cm="1">
        <f t="array" ref="L43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43" s="12">
        <f>Table1[[#This Row],[Price]]*Table1[[#This Row],[Quantity]]</f>
        <v>6604</v>
      </c>
      <c r="N43" s="12" t="str" cm="1">
        <f t="array" ref="N43">_xlfn.IFS(Table1[[#This Row],[Revenue]]&lt;=3267,"Low Sales",Table1[[#This Row],[Revenue]]&lt;=6534,"Fair Sales",Table1[[#This Row],[Revenue]]&gt;6534,"High Sales")</f>
        <v>High Sales</v>
      </c>
    </row>
    <row r="44" spans="1:14" x14ac:dyDescent="0.25">
      <c r="A44" s="9">
        <v>10496</v>
      </c>
      <c r="B44" s="4">
        <v>44881</v>
      </c>
      <c r="C44" s="4" t="str">
        <f>TEXT(Table1[[#This Row],[Date]],"mmmm")</f>
        <v>November</v>
      </c>
      <c r="D44" s="4" t="str">
        <f>TEXT(Table1[[#This Row],[Date]],"dddd")</f>
        <v>Wednesday</v>
      </c>
      <c r="E44" t="s">
        <v>24</v>
      </c>
      <c r="F44" s="11">
        <v>10</v>
      </c>
      <c r="G44">
        <v>201</v>
      </c>
      <c r="H44" s="8" t="s">
        <v>17</v>
      </c>
      <c r="I44" s="8" t="s">
        <v>21</v>
      </c>
      <c r="J44" t="s">
        <v>30</v>
      </c>
      <c r="K44" t="s">
        <v>15</v>
      </c>
      <c r="L44" t="str" cm="1">
        <f t="array" ref="L44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44" s="12">
        <f>Table1[[#This Row],[Price]]*Table1[[#This Row],[Quantity]]</f>
        <v>2010</v>
      </c>
      <c r="N44" s="12" t="str" cm="1">
        <f t="array" ref="N44">_xlfn.IFS(Table1[[#This Row],[Revenue]]&lt;=3267,"Low Sales",Table1[[#This Row],[Revenue]]&lt;=6534,"Fair Sales",Table1[[#This Row],[Revenue]]&gt;6534,"High Sales")</f>
        <v>Low Sales</v>
      </c>
    </row>
    <row r="45" spans="1:14" x14ac:dyDescent="0.25">
      <c r="A45" s="9">
        <v>10497</v>
      </c>
      <c r="B45" s="4">
        <v>44881</v>
      </c>
      <c r="C45" s="4" t="str">
        <f>TEXT(Table1[[#This Row],[Date]],"mmmm")</f>
        <v>November</v>
      </c>
      <c r="D45" s="4" t="str">
        <f>TEXT(Table1[[#This Row],[Date]],"dddd")</f>
        <v>Wednesday</v>
      </c>
      <c r="E45" t="s">
        <v>8</v>
      </c>
      <c r="F45" s="11">
        <v>4</v>
      </c>
      <c r="G45">
        <v>573</v>
      </c>
      <c r="H45" s="8" t="s">
        <v>17</v>
      </c>
      <c r="I45" s="8" t="s">
        <v>21</v>
      </c>
      <c r="J45" t="s">
        <v>30</v>
      </c>
      <c r="K45" t="s">
        <v>15</v>
      </c>
      <c r="L45" t="str" cm="1">
        <f t="array" ref="L45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45" s="12">
        <f>Table1[[#This Row],[Price]]*Table1[[#This Row],[Quantity]]</f>
        <v>2292</v>
      </c>
      <c r="N45" s="12" t="str" cm="1">
        <f t="array" ref="N45">_xlfn.IFS(Table1[[#This Row],[Revenue]]&lt;=3267,"Low Sales",Table1[[#This Row],[Revenue]]&lt;=6534,"Fair Sales",Table1[[#This Row],[Revenue]]&gt;6534,"High Sales")</f>
        <v>Low Sales</v>
      </c>
    </row>
    <row r="46" spans="1:14" x14ac:dyDescent="0.25">
      <c r="A46" s="9">
        <v>10498</v>
      </c>
      <c r="B46" s="4">
        <v>44881</v>
      </c>
      <c r="C46" s="4" t="str">
        <f>TEXT(Table1[[#This Row],[Date]],"mmmm")</f>
        <v>November</v>
      </c>
      <c r="D46" s="4" t="str">
        <f>TEXT(Table1[[#This Row],[Date]],"dddd")</f>
        <v>Wednesday</v>
      </c>
      <c r="E46" t="s">
        <v>13</v>
      </c>
      <c r="F46" s="11">
        <v>3</v>
      </c>
      <c r="G46">
        <v>678</v>
      </c>
      <c r="H46" s="8" t="s">
        <v>35</v>
      </c>
      <c r="I46" s="8" t="s">
        <v>21</v>
      </c>
      <c r="J46" t="s">
        <v>30</v>
      </c>
      <c r="K46" t="s">
        <v>15</v>
      </c>
      <c r="L46" t="str" cm="1">
        <f t="array" ref="L46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46" s="12">
        <f>Table1[[#This Row],[Price]]*Table1[[#This Row],[Quantity]]</f>
        <v>2034</v>
      </c>
      <c r="N46" s="12" t="str" cm="1">
        <f t="array" ref="N46">_xlfn.IFS(Table1[[#This Row],[Revenue]]&lt;=3267,"Low Sales",Table1[[#This Row],[Revenue]]&lt;=6534,"Fair Sales",Table1[[#This Row],[Revenue]]&gt;6534,"High Sales")</f>
        <v>Low Sales</v>
      </c>
    </row>
    <row r="47" spans="1:14" x14ac:dyDescent="0.25">
      <c r="A47" s="9">
        <v>10499</v>
      </c>
      <c r="B47" s="4">
        <v>44881</v>
      </c>
      <c r="C47" s="4" t="str">
        <f>TEXT(Table1[[#This Row],[Date]],"mmmm")</f>
        <v>November</v>
      </c>
      <c r="D47" s="4" t="str">
        <f>TEXT(Table1[[#This Row],[Date]],"dddd")</f>
        <v>Wednesday</v>
      </c>
      <c r="E47" t="s">
        <v>16</v>
      </c>
      <c r="F47" s="11">
        <v>5</v>
      </c>
      <c r="G47">
        <v>200</v>
      </c>
      <c r="H47" s="8" t="s">
        <v>35</v>
      </c>
      <c r="I47" s="8" t="s">
        <v>21</v>
      </c>
      <c r="J47" t="s">
        <v>30</v>
      </c>
      <c r="K47" t="s">
        <v>15</v>
      </c>
      <c r="L47" t="str" cm="1">
        <f t="array" ref="L47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47" s="12">
        <f>Table1[[#This Row],[Price]]*Table1[[#This Row],[Quantity]]</f>
        <v>1000</v>
      </c>
      <c r="N47" s="12" t="str" cm="1">
        <f t="array" ref="N47">_xlfn.IFS(Table1[[#This Row],[Revenue]]&lt;=3267,"Low Sales",Table1[[#This Row],[Revenue]]&lt;=6534,"Fair Sales",Table1[[#This Row],[Revenue]]&gt;6534,"High Sales")</f>
        <v>Low Sales</v>
      </c>
    </row>
    <row r="48" spans="1:14" x14ac:dyDescent="0.25">
      <c r="A48" s="9">
        <v>10500</v>
      </c>
      <c r="B48" s="4">
        <v>44882</v>
      </c>
      <c r="C48" s="4" t="str">
        <f>TEXT(Table1[[#This Row],[Date]],"mmmm")</f>
        <v>November</v>
      </c>
      <c r="D48" s="4" t="str">
        <f>TEXT(Table1[[#This Row],[Date]],"dddd")</f>
        <v>Thursday</v>
      </c>
      <c r="E48" t="s">
        <v>20</v>
      </c>
      <c r="F48" s="11">
        <v>13</v>
      </c>
      <c r="G48">
        <v>523</v>
      </c>
      <c r="H48" s="8" t="s">
        <v>35</v>
      </c>
      <c r="I48" s="8" t="s">
        <v>21</v>
      </c>
      <c r="J48" t="s">
        <v>30</v>
      </c>
      <c r="K48" t="s">
        <v>15</v>
      </c>
      <c r="L48" t="str" cm="1">
        <f t="array" ref="L48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48" s="12">
        <f>Table1[[#This Row],[Price]]*Table1[[#This Row],[Quantity]]</f>
        <v>6799</v>
      </c>
      <c r="N48" s="12" t="str" cm="1">
        <f t="array" ref="N48">_xlfn.IFS(Table1[[#This Row],[Revenue]]&lt;=3267,"Low Sales",Table1[[#This Row],[Revenue]]&lt;=6534,"Fair Sales",Table1[[#This Row],[Revenue]]&gt;6534,"High Sales")</f>
        <v>High Sales</v>
      </c>
    </row>
    <row r="49" spans="1:14" x14ac:dyDescent="0.25">
      <c r="A49" s="9">
        <v>10501</v>
      </c>
      <c r="B49" s="4">
        <v>44882</v>
      </c>
      <c r="C49" s="4" t="str">
        <f>TEXT(Table1[[#This Row],[Date]],"mmmm")</f>
        <v>November</v>
      </c>
      <c r="D49" s="4" t="str">
        <f>TEXT(Table1[[#This Row],[Date]],"dddd")</f>
        <v>Thursday</v>
      </c>
      <c r="E49" t="s">
        <v>24</v>
      </c>
      <c r="F49" s="11">
        <v>10</v>
      </c>
      <c r="G49">
        <v>201</v>
      </c>
      <c r="H49" s="8" t="s">
        <v>35</v>
      </c>
      <c r="I49" s="8" t="s">
        <v>21</v>
      </c>
      <c r="J49" t="s">
        <v>30</v>
      </c>
      <c r="K49" t="s">
        <v>15</v>
      </c>
      <c r="L49" t="str" cm="1">
        <f t="array" ref="L49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49" s="12">
        <f>Table1[[#This Row],[Price]]*Table1[[#This Row],[Quantity]]</f>
        <v>2010</v>
      </c>
      <c r="N49" s="12" t="str" cm="1">
        <f t="array" ref="N49">_xlfn.IFS(Table1[[#This Row],[Revenue]]&lt;=3267,"Low Sales",Table1[[#This Row],[Revenue]]&lt;=6534,"Fair Sales",Table1[[#This Row],[Revenue]]&gt;6534,"High Sales")</f>
        <v>Low Sales</v>
      </c>
    </row>
    <row r="50" spans="1:14" x14ac:dyDescent="0.25">
      <c r="A50" s="9">
        <v>10502</v>
      </c>
      <c r="B50" s="4">
        <v>44882</v>
      </c>
      <c r="C50" s="4" t="str">
        <f>TEXT(Table1[[#This Row],[Date]],"mmmm")</f>
        <v>November</v>
      </c>
      <c r="D50" s="4" t="str">
        <f>TEXT(Table1[[#This Row],[Date]],"dddd")</f>
        <v>Thursday</v>
      </c>
      <c r="E50" t="s">
        <v>8</v>
      </c>
      <c r="F50" s="11">
        <v>4</v>
      </c>
      <c r="G50">
        <v>630</v>
      </c>
      <c r="H50" s="8" t="s">
        <v>35</v>
      </c>
      <c r="I50" s="8" t="s">
        <v>21</v>
      </c>
      <c r="J50" t="s">
        <v>30</v>
      </c>
      <c r="K50" t="s">
        <v>15</v>
      </c>
      <c r="L50" t="str" cm="1">
        <f t="array" ref="L50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50" s="12">
        <f>Table1[[#This Row],[Price]]*Table1[[#This Row],[Quantity]]</f>
        <v>2520</v>
      </c>
      <c r="N50" s="12" t="str" cm="1">
        <f t="array" ref="N50">_xlfn.IFS(Table1[[#This Row],[Revenue]]&lt;=3267,"Low Sales",Table1[[#This Row],[Revenue]]&lt;=6534,"Fair Sales",Table1[[#This Row],[Revenue]]&gt;6534,"High Sales")</f>
        <v>Low Sales</v>
      </c>
    </row>
    <row r="51" spans="1:14" x14ac:dyDescent="0.25">
      <c r="A51" s="9">
        <v>10503</v>
      </c>
      <c r="B51" s="4">
        <v>44882</v>
      </c>
      <c r="C51" s="4" t="str">
        <f>TEXT(Table1[[#This Row],[Date]],"mmmm")</f>
        <v>November</v>
      </c>
      <c r="D51" s="4" t="str">
        <f>TEXT(Table1[[#This Row],[Date]],"dddd")</f>
        <v>Thursday</v>
      </c>
      <c r="E51" t="s">
        <v>13</v>
      </c>
      <c r="F51" s="11">
        <v>3</v>
      </c>
      <c r="G51">
        <v>678</v>
      </c>
      <c r="H51" s="8" t="s">
        <v>35</v>
      </c>
      <c r="I51" s="8" t="s">
        <v>21</v>
      </c>
      <c r="J51" t="s">
        <v>30</v>
      </c>
      <c r="K51" t="s">
        <v>15</v>
      </c>
      <c r="L51" t="str" cm="1">
        <f t="array" ref="L51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51" s="12">
        <f>Table1[[#This Row],[Price]]*Table1[[#This Row],[Quantity]]</f>
        <v>2034</v>
      </c>
      <c r="N51" s="12" t="str" cm="1">
        <f t="array" ref="N51">_xlfn.IFS(Table1[[#This Row],[Revenue]]&lt;=3267,"Low Sales",Table1[[#This Row],[Revenue]]&lt;=6534,"Fair Sales",Table1[[#This Row],[Revenue]]&gt;6534,"High Sales")</f>
        <v>Low Sales</v>
      </c>
    </row>
    <row r="52" spans="1:14" x14ac:dyDescent="0.25">
      <c r="A52" s="9">
        <v>10504</v>
      </c>
      <c r="B52" s="4">
        <v>44882</v>
      </c>
      <c r="C52" s="4" t="str">
        <f>TEXT(Table1[[#This Row],[Date]],"mmmm")</f>
        <v>November</v>
      </c>
      <c r="D52" s="4" t="str">
        <f>TEXT(Table1[[#This Row],[Date]],"dddd")</f>
        <v>Thursday</v>
      </c>
      <c r="E52" t="s">
        <v>16</v>
      </c>
      <c r="F52" s="11">
        <v>5</v>
      </c>
      <c r="G52">
        <v>200</v>
      </c>
      <c r="H52" s="8" t="s">
        <v>35</v>
      </c>
      <c r="I52" s="8" t="s">
        <v>21</v>
      </c>
      <c r="J52" t="s">
        <v>30</v>
      </c>
      <c r="K52" t="s">
        <v>15</v>
      </c>
      <c r="L52" t="str" cm="1">
        <f t="array" ref="L52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52" s="12">
        <f>Table1[[#This Row],[Price]]*Table1[[#This Row],[Quantity]]</f>
        <v>1000</v>
      </c>
      <c r="N52" s="12" t="str" cm="1">
        <f t="array" ref="N52">_xlfn.IFS(Table1[[#This Row],[Revenue]]&lt;=3267,"Low Sales",Table1[[#This Row],[Revenue]]&lt;=6534,"Fair Sales",Table1[[#This Row],[Revenue]]&gt;6534,"High Sales")</f>
        <v>Low Sales</v>
      </c>
    </row>
    <row r="53" spans="1:14" x14ac:dyDescent="0.25">
      <c r="A53" s="9">
        <v>10505</v>
      </c>
      <c r="B53" s="4">
        <v>44883</v>
      </c>
      <c r="C53" s="4" t="str">
        <f>TEXT(Table1[[#This Row],[Date]],"mmmm")</f>
        <v>November</v>
      </c>
      <c r="D53" s="4" t="str">
        <f>TEXT(Table1[[#This Row],[Date]],"dddd")</f>
        <v>Friday</v>
      </c>
      <c r="E53" t="s">
        <v>20</v>
      </c>
      <c r="F53" s="11">
        <v>13</v>
      </c>
      <c r="G53">
        <v>539</v>
      </c>
      <c r="H53" s="8" t="s">
        <v>35</v>
      </c>
      <c r="I53" s="8" t="s">
        <v>21</v>
      </c>
      <c r="J53" t="s">
        <v>30</v>
      </c>
      <c r="K53" t="s">
        <v>15</v>
      </c>
      <c r="L53" t="str" cm="1">
        <f t="array" ref="L53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53" s="12">
        <f>Table1[[#This Row],[Price]]*Table1[[#This Row],[Quantity]]</f>
        <v>7007</v>
      </c>
      <c r="N53" s="12" t="str" cm="1">
        <f t="array" ref="N53">_xlfn.IFS(Table1[[#This Row],[Revenue]]&lt;=3267,"Low Sales",Table1[[#This Row],[Revenue]]&lt;=6534,"Fair Sales",Table1[[#This Row],[Revenue]]&gt;6534,"High Sales")</f>
        <v>High Sales</v>
      </c>
    </row>
    <row r="54" spans="1:14" x14ac:dyDescent="0.25">
      <c r="A54" s="9">
        <v>10506</v>
      </c>
      <c r="B54" s="4">
        <v>44883</v>
      </c>
      <c r="C54" s="4" t="str">
        <f>TEXT(Table1[[#This Row],[Date]],"mmmm")</f>
        <v>November</v>
      </c>
      <c r="D54" s="4" t="str">
        <f>TEXT(Table1[[#This Row],[Date]],"dddd")</f>
        <v>Friday</v>
      </c>
      <c r="E54" t="s">
        <v>24</v>
      </c>
      <c r="F54" s="11">
        <v>10</v>
      </c>
      <c r="G54">
        <v>201</v>
      </c>
      <c r="H54" s="8" t="s">
        <v>35</v>
      </c>
      <c r="I54" s="8" t="s">
        <v>21</v>
      </c>
      <c r="J54" t="s">
        <v>30</v>
      </c>
      <c r="K54" t="s">
        <v>15</v>
      </c>
      <c r="L54" t="str" cm="1">
        <f t="array" ref="L54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54" s="12">
        <f>Table1[[#This Row],[Price]]*Table1[[#This Row],[Quantity]]</f>
        <v>2010</v>
      </c>
      <c r="N54" s="12" t="str" cm="1">
        <f t="array" ref="N54">_xlfn.IFS(Table1[[#This Row],[Revenue]]&lt;=3267,"Low Sales",Table1[[#This Row],[Revenue]]&lt;=6534,"Fair Sales",Table1[[#This Row],[Revenue]]&gt;6534,"High Sales")</f>
        <v>Low Sales</v>
      </c>
    </row>
    <row r="55" spans="1:14" x14ac:dyDescent="0.25">
      <c r="A55" s="9">
        <v>10507</v>
      </c>
      <c r="B55" s="4">
        <v>44883</v>
      </c>
      <c r="C55" s="4" t="str">
        <f>TEXT(Table1[[#This Row],[Date]],"mmmm")</f>
        <v>November</v>
      </c>
      <c r="D55" s="4" t="str">
        <f>TEXT(Table1[[#This Row],[Date]],"dddd")</f>
        <v>Friday</v>
      </c>
      <c r="E55" t="s">
        <v>8</v>
      </c>
      <c r="F55" s="11">
        <v>4</v>
      </c>
      <c r="G55">
        <v>688</v>
      </c>
      <c r="H55" s="8" t="s">
        <v>35</v>
      </c>
      <c r="I55" s="8" t="s">
        <v>21</v>
      </c>
      <c r="J55" t="s">
        <v>30</v>
      </c>
      <c r="K55" t="s">
        <v>15</v>
      </c>
      <c r="L55" t="str" cm="1">
        <f t="array" ref="L55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55" s="12">
        <f>Table1[[#This Row],[Price]]*Table1[[#This Row],[Quantity]]</f>
        <v>2752</v>
      </c>
      <c r="N55" s="12" t="str" cm="1">
        <f t="array" ref="N55">_xlfn.IFS(Table1[[#This Row],[Revenue]]&lt;=3267,"Low Sales",Table1[[#This Row],[Revenue]]&lt;=6534,"Fair Sales",Table1[[#This Row],[Revenue]]&gt;6534,"High Sales")</f>
        <v>Low Sales</v>
      </c>
    </row>
    <row r="56" spans="1:14" x14ac:dyDescent="0.25">
      <c r="A56" s="9">
        <v>10508</v>
      </c>
      <c r="B56" s="4">
        <v>44883</v>
      </c>
      <c r="C56" s="4" t="str">
        <f>TEXT(Table1[[#This Row],[Date]],"mmmm")</f>
        <v>November</v>
      </c>
      <c r="D56" s="4" t="str">
        <f>TEXT(Table1[[#This Row],[Date]],"dddd")</f>
        <v>Friday</v>
      </c>
      <c r="E56" t="s">
        <v>13</v>
      </c>
      <c r="F56" s="11">
        <v>3</v>
      </c>
      <c r="G56">
        <v>678</v>
      </c>
      <c r="H56" s="8" t="s">
        <v>35</v>
      </c>
      <c r="I56" s="8" t="s">
        <v>21</v>
      </c>
      <c r="J56" t="s">
        <v>30</v>
      </c>
      <c r="K56" t="s">
        <v>15</v>
      </c>
      <c r="L56" t="str" cm="1">
        <f t="array" ref="L56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56" s="12">
        <f>Table1[[#This Row],[Price]]*Table1[[#This Row],[Quantity]]</f>
        <v>2034</v>
      </c>
      <c r="N56" s="12" t="str" cm="1">
        <f t="array" ref="N56">_xlfn.IFS(Table1[[#This Row],[Revenue]]&lt;=3267,"Low Sales",Table1[[#This Row],[Revenue]]&lt;=6534,"Fair Sales",Table1[[#This Row],[Revenue]]&gt;6534,"High Sales")</f>
        <v>Low Sales</v>
      </c>
    </row>
    <row r="57" spans="1:14" x14ac:dyDescent="0.25">
      <c r="A57" s="9">
        <v>10509</v>
      </c>
      <c r="B57" s="4">
        <v>44883</v>
      </c>
      <c r="C57" s="4" t="str">
        <f>TEXT(Table1[[#This Row],[Date]],"mmmm")</f>
        <v>November</v>
      </c>
      <c r="D57" s="4" t="str">
        <f>TEXT(Table1[[#This Row],[Date]],"dddd")</f>
        <v>Friday</v>
      </c>
      <c r="E57" t="s">
        <v>16</v>
      </c>
      <c r="F57" s="11">
        <v>5</v>
      </c>
      <c r="G57">
        <v>200</v>
      </c>
      <c r="H57" s="8" t="s">
        <v>35</v>
      </c>
      <c r="I57" s="8" t="s">
        <v>21</v>
      </c>
      <c r="J57" t="s">
        <v>30</v>
      </c>
      <c r="K57" t="s">
        <v>15</v>
      </c>
      <c r="L57" t="str" cm="1">
        <f t="array" ref="L57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57" s="12">
        <f>Table1[[#This Row],[Price]]*Table1[[#This Row],[Quantity]]</f>
        <v>1000</v>
      </c>
      <c r="N57" s="12" t="str" cm="1">
        <f t="array" ref="N57">_xlfn.IFS(Table1[[#This Row],[Revenue]]&lt;=3267,"Low Sales",Table1[[#This Row],[Revenue]]&lt;=6534,"Fair Sales",Table1[[#This Row],[Revenue]]&gt;6534,"High Sales")</f>
        <v>Low Sales</v>
      </c>
    </row>
    <row r="58" spans="1:14" x14ac:dyDescent="0.25">
      <c r="A58" s="9">
        <v>10510</v>
      </c>
      <c r="B58" s="4">
        <v>44884</v>
      </c>
      <c r="C58" s="4" t="str">
        <f>TEXT(Table1[[#This Row],[Date]],"mmmm")</f>
        <v>November</v>
      </c>
      <c r="D58" s="4" t="str">
        <f>TEXT(Table1[[#This Row],[Date]],"dddd")</f>
        <v>Saturday</v>
      </c>
      <c r="E58" t="s">
        <v>20</v>
      </c>
      <c r="F58" s="11">
        <v>13</v>
      </c>
      <c r="G58">
        <v>508</v>
      </c>
      <c r="H58" s="8" t="s">
        <v>35</v>
      </c>
      <c r="I58" s="8" t="s">
        <v>21</v>
      </c>
      <c r="J58" t="s">
        <v>30</v>
      </c>
      <c r="K58" t="s">
        <v>15</v>
      </c>
      <c r="L58" t="str" cm="1">
        <f t="array" ref="L58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58" s="12">
        <f>Table1[[#This Row],[Price]]*Table1[[#This Row],[Quantity]]</f>
        <v>6604</v>
      </c>
      <c r="N58" s="12" t="str" cm="1">
        <f t="array" ref="N58">_xlfn.IFS(Table1[[#This Row],[Revenue]]&lt;=3267,"Low Sales",Table1[[#This Row],[Revenue]]&lt;=6534,"Fair Sales",Table1[[#This Row],[Revenue]]&gt;6534,"High Sales")</f>
        <v>High Sales</v>
      </c>
    </row>
    <row r="59" spans="1:14" x14ac:dyDescent="0.25">
      <c r="A59" s="9">
        <v>10511</v>
      </c>
      <c r="B59" s="4">
        <v>44884</v>
      </c>
      <c r="C59" s="4" t="str">
        <f>TEXT(Table1[[#This Row],[Date]],"mmmm")</f>
        <v>November</v>
      </c>
      <c r="D59" s="4" t="str">
        <f>TEXT(Table1[[#This Row],[Date]],"dddd")</f>
        <v>Saturday</v>
      </c>
      <c r="E59" t="s">
        <v>24</v>
      </c>
      <c r="F59" s="11">
        <v>10</v>
      </c>
      <c r="G59">
        <v>201</v>
      </c>
      <c r="H59" s="8" t="s">
        <v>35</v>
      </c>
      <c r="I59" s="8" t="s">
        <v>21</v>
      </c>
      <c r="J59" t="s">
        <v>34</v>
      </c>
      <c r="K59" t="s">
        <v>19</v>
      </c>
      <c r="L59" t="str" cm="1">
        <f t="array" ref="L59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59" s="12">
        <f>Table1[[#This Row],[Price]]*Table1[[#This Row],[Quantity]]</f>
        <v>2010</v>
      </c>
      <c r="N59" s="12" t="str" cm="1">
        <f t="array" ref="N59">_xlfn.IFS(Table1[[#This Row],[Revenue]]&lt;=3267,"Low Sales",Table1[[#This Row],[Revenue]]&lt;=6534,"Fair Sales",Table1[[#This Row],[Revenue]]&gt;6534,"High Sales")</f>
        <v>Low Sales</v>
      </c>
    </row>
    <row r="60" spans="1:14" x14ac:dyDescent="0.25">
      <c r="A60" s="9">
        <v>10512</v>
      </c>
      <c r="B60" s="4">
        <v>44884</v>
      </c>
      <c r="C60" s="4" t="str">
        <f>TEXT(Table1[[#This Row],[Date]],"mmmm")</f>
        <v>November</v>
      </c>
      <c r="D60" s="4" t="str">
        <f>TEXT(Table1[[#This Row],[Date]],"dddd")</f>
        <v>Saturday</v>
      </c>
      <c r="E60" t="s">
        <v>8</v>
      </c>
      <c r="F60" s="11">
        <v>4</v>
      </c>
      <c r="G60">
        <v>688</v>
      </c>
      <c r="H60" s="8" t="s">
        <v>35</v>
      </c>
      <c r="I60" s="8" t="s">
        <v>21</v>
      </c>
      <c r="J60" t="s">
        <v>34</v>
      </c>
      <c r="K60" t="s">
        <v>19</v>
      </c>
      <c r="L60" t="str" cm="1">
        <f t="array" ref="L60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60" s="12">
        <f>Table1[[#This Row],[Price]]*Table1[[#This Row],[Quantity]]</f>
        <v>2752</v>
      </c>
      <c r="N60" s="12" t="str" cm="1">
        <f t="array" ref="N60">_xlfn.IFS(Table1[[#This Row],[Revenue]]&lt;=3267,"Low Sales",Table1[[#This Row],[Revenue]]&lt;=6534,"Fair Sales",Table1[[#This Row],[Revenue]]&gt;6534,"High Sales")</f>
        <v>Low Sales</v>
      </c>
    </row>
    <row r="61" spans="1:14" x14ac:dyDescent="0.25">
      <c r="A61" s="9">
        <v>10513</v>
      </c>
      <c r="B61" s="4">
        <v>44884</v>
      </c>
      <c r="C61" s="4" t="str">
        <f>TEXT(Table1[[#This Row],[Date]],"mmmm")</f>
        <v>November</v>
      </c>
      <c r="D61" s="4" t="str">
        <f>TEXT(Table1[[#This Row],[Date]],"dddd")</f>
        <v>Saturday</v>
      </c>
      <c r="E61" t="s">
        <v>13</v>
      </c>
      <c r="F61" s="11">
        <v>3</v>
      </c>
      <c r="G61">
        <v>678</v>
      </c>
      <c r="H61" s="8" t="s">
        <v>35</v>
      </c>
      <c r="I61" s="8" t="s">
        <v>36</v>
      </c>
      <c r="J61" t="s">
        <v>34</v>
      </c>
      <c r="K61" t="s">
        <v>19</v>
      </c>
      <c r="L61" t="str" cm="1">
        <f t="array" ref="L61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61" s="12">
        <f>Table1[[#This Row],[Price]]*Table1[[#This Row],[Quantity]]</f>
        <v>2034</v>
      </c>
      <c r="N61" s="12" t="str" cm="1">
        <f t="array" ref="N61">_xlfn.IFS(Table1[[#This Row],[Revenue]]&lt;=3267,"Low Sales",Table1[[#This Row],[Revenue]]&lt;=6534,"Fair Sales",Table1[[#This Row],[Revenue]]&gt;6534,"High Sales")</f>
        <v>Low Sales</v>
      </c>
    </row>
    <row r="62" spans="1:14" x14ac:dyDescent="0.25">
      <c r="A62" s="9">
        <v>10514</v>
      </c>
      <c r="B62" s="4">
        <v>44884</v>
      </c>
      <c r="C62" s="4" t="str">
        <f>TEXT(Table1[[#This Row],[Date]],"mmmm")</f>
        <v>November</v>
      </c>
      <c r="D62" s="4" t="str">
        <f>TEXT(Table1[[#This Row],[Date]],"dddd")</f>
        <v>Saturday</v>
      </c>
      <c r="E62" t="s">
        <v>16</v>
      </c>
      <c r="F62" s="11">
        <v>5</v>
      </c>
      <c r="G62">
        <v>200</v>
      </c>
      <c r="H62" s="8" t="s">
        <v>35</v>
      </c>
      <c r="I62" s="8" t="s">
        <v>36</v>
      </c>
      <c r="J62" t="s">
        <v>34</v>
      </c>
      <c r="K62" t="s">
        <v>19</v>
      </c>
      <c r="L62" t="str" cm="1">
        <f t="array" ref="L62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62" s="12">
        <f>Table1[[#This Row],[Price]]*Table1[[#This Row],[Quantity]]</f>
        <v>1000</v>
      </c>
      <c r="N62" s="12" t="str" cm="1">
        <f t="array" ref="N62">_xlfn.IFS(Table1[[#This Row],[Revenue]]&lt;=3267,"Low Sales",Table1[[#This Row],[Revenue]]&lt;=6534,"Fair Sales",Table1[[#This Row],[Revenue]]&gt;6534,"High Sales")</f>
        <v>Low Sales</v>
      </c>
    </row>
    <row r="63" spans="1:14" x14ac:dyDescent="0.25">
      <c r="A63" s="9">
        <v>10515</v>
      </c>
      <c r="B63" s="4">
        <v>44885</v>
      </c>
      <c r="C63" s="4" t="str">
        <f>TEXT(Table1[[#This Row],[Date]],"mmmm")</f>
        <v>November</v>
      </c>
      <c r="D63" s="4" t="str">
        <f>TEXT(Table1[[#This Row],[Date]],"dddd")</f>
        <v>Sunday</v>
      </c>
      <c r="E63" t="s">
        <v>20</v>
      </c>
      <c r="F63" s="11">
        <v>13</v>
      </c>
      <c r="G63">
        <v>477</v>
      </c>
      <c r="H63" s="8" t="s">
        <v>35</v>
      </c>
      <c r="I63" s="8" t="s">
        <v>36</v>
      </c>
      <c r="J63" t="s">
        <v>34</v>
      </c>
      <c r="K63" t="s">
        <v>19</v>
      </c>
      <c r="L63" t="str" cm="1">
        <f t="array" ref="L63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63" s="12">
        <f>Table1[[#This Row],[Price]]*Table1[[#This Row],[Quantity]]</f>
        <v>6201</v>
      </c>
      <c r="N63" s="12" t="str" cm="1">
        <f t="array" ref="N63">_xlfn.IFS(Table1[[#This Row],[Revenue]]&lt;=3267,"Low Sales",Table1[[#This Row],[Revenue]]&lt;=6534,"Fair Sales",Table1[[#This Row],[Revenue]]&gt;6534,"High Sales")</f>
        <v>Fair Sales</v>
      </c>
    </row>
    <row r="64" spans="1:14" x14ac:dyDescent="0.25">
      <c r="A64" s="9">
        <v>10516</v>
      </c>
      <c r="B64" s="4">
        <v>44885</v>
      </c>
      <c r="C64" s="4" t="str">
        <f>TEXT(Table1[[#This Row],[Date]],"mmmm")</f>
        <v>November</v>
      </c>
      <c r="D64" s="4" t="str">
        <f>TEXT(Table1[[#This Row],[Date]],"dddd")</f>
        <v>Sunday</v>
      </c>
      <c r="E64" t="s">
        <v>24</v>
      </c>
      <c r="F64" s="11">
        <v>10</v>
      </c>
      <c r="G64">
        <v>201</v>
      </c>
      <c r="H64" s="8" t="s">
        <v>35</v>
      </c>
      <c r="I64" s="8" t="s">
        <v>36</v>
      </c>
      <c r="J64" t="s">
        <v>34</v>
      </c>
      <c r="K64" t="s">
        <v>19</v>
      </c>
      <c r="L64" t="str" cm="1">
        <f t="array" ref="L64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64" s="12">
        <f>Table1[[#This Row],[Price]]*Table1[[#This Row],[Quantity]]</f>
        <v>2010</v>
      </c>
      <c r="N64" s="12" t="str" cm="1">
        <f t="array" ref="N64">_xlfn.IFS(Table1[[#This Row],[Revenue]]&lt;=3267,"Low Sales",Table1[[#This Row],[Revenue]]&lt;=6534,"Fair Sales",Table1[[#This Row],[Revenue]]&gt;6534,"High Sales")</f>
        <v>Low Sales</v>
      </c>
    </row>
    <row r="65" spans="1:14" x14ac:dyDescent="0.25">
      <c r="A65" s="9">
        <v>10483</v>
      </c>
      <c r="B65" s="4">
        <v>44878</v>
      </c>
      <c r="C65" s="4" t="str">
        <f>TEXT(Table1[[#This Row],[Date]],"mmmm")</f>
        <v>November</v>
      </c>
      <c r="D65" s="4" t="str">
        <f>TEXT(Table1[[#This Row],[Date]],"dddd")</f>
        <v>Sunday</v>
      </c>
      <c r="E65" t="s">
        <v>13</v>
      </c>
      <c r="F65" s="11">
        <v>3</v>
      </c>
      <c r="G65">
        <v>678</v>
      </c>
      <c r="H65" s="8" t="s">
        <v>17</v>
      </c>
      <c r="I65" s="8" t="s">
        <v>21</v>
      </c>
      <c r="J65" t="s">
        <v>34</v>
      </c>
      <c r="K65" t="s">
        <v>19</v>
      </c>
      <c r="L65" t="str" cm="1">
        <f t="array" ref="L65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65" s="12">
        <f>Table1[[#This Row],[Price]]*Table1[[#This Row],[Quantity]]</f>
        <v>2034</v>
      </c>
      <c r="N65" s="12" t="str" cm="1">
        <f t="array" ref="N65">_xlfn.IFS(Table1[[#This Row],[Revenue]]&lt;=3267,"Low Sales",Table1[[#This Row],[Revenue]]&lt;=6534,"Fair Sales",Table1[[#This Row],[Revenue]]&gt;6534,"High Sales")</f>
        <v>Low Sales</v>
      </c>
    </row>
    <row r="66" spans="1:14" x14ac:dyDescent="0.25">
      <c r="A66" s="9">
        <v>10484</v>
      </c>
      <c r="B66" s="4">
        <v>44878</v>
      </c>
      <c r="C66" s="4" t="str">
        <f>TEXT(Table1[[#This Row],[Date]],"mmmm")</f>
        <v>November</v>
      </c>
      <c r="D66" s="4" t="str">
        <f>TEXT(Table1[[#This Row],[Date]],"dddd")</f>
        <v>Sunday</v>
      </c>
      <c r="E66" t="s">
        <v>16</v>
      </c>
      <c r="F66" s="11">
        <v>5</v>
      </c>
      <c r="G66">
        <v>200</v>
      </c>
      <c r="H66" s="8" t="s">
        <v>17</v>
      </c>
      <c r="I66" s="8" t="s">
        <v>21</v>
      </c>
      <c r="J66" t="s">
        <v>34</v>
      </c>
      <c r="K66" t="s">
        <v>19</v>
      </c>
      <c r="L66" t="str" cm="1">
        <f t="array" ref="L66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66" s="12">
        <f>Table1[[#This Row],[Price]]*Table1[[#This Row],[Quantity]]</f>
        <v>1000</v>
      </c>
      <c r="N66" s="12" t="str" cm="1">
        <f t="array" ref="N66">_xlfn.IFS(Table1[[#This Row],[Revenue]]&lt;=3267,"Low Sales",Table1[[#This Row],[Revenue]]&lt;=6534,"Fair Sales",Table1[[#This Row],[Revenue]]&gt;6534,"High Sales")</f>
        <v>Low Sales</v>
      </c>
    </row>
    <row r="67" spans="1:14" x14ac:dyDescent="0.25">
      <c r="A67" s="9">
        <v>10485</v>
      </c>
      <c r="B67" s="4">
        <v>44879</v>
      </c>
      <c r="C67" s="4" t="str">
        <f>TEXT(Table1[[#This Row],[Date]],"mmmm")</f>
        <v>November</v>
      </c>
      <c r="D67" s="4" t="str">
        <f>TEXT(Table1[[#This Row],[Date]],"dddd")</f>
        <v>Monday</v>
      </c>
      <c r="E67" t="s">
        <v>20</v>
      </c>
      <c r="F67" s="11">
        <v>13</v>
      </c>
      <c r="G67">
        <v>523</v>
      </c>
      <c r="H67" s="8" t="s">
        <v>17</v>
      </c>
      <c r="I67" s="8" t="s">
        <v>21</v>
      </c>
      <c r="J67" t="s">
        <v>34</v>
      </c>
      <c r="K67" t="s">
        <v>19</v>
      </c>
      <c r="L67" t="str" cm="1">
        <f t="array" ref="L67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67" s="12">
        <f>Table1[[#This Row],[Price]]*Table1[[#This Row],[Quantity]]</f>
        <v>6799</v>
      </c>
      <c r="N67" s="12" t="str" cm="1">
        <f t="array" ref="N67">_xlfn.IFS(Table1[[#This Row],[Revenue]]&lt;=3267,"Low Sales",Table1[[#This Row],[Revenue]]&lt;=6534,"Fair Sales",Table1[[#This Row],[Revenue]]&gt;6534,"High Sales")</f>
        <v>High Sales</v>
      </c>
    </row>
    <row r="68" spans="1:14" x14ac:dyDescent="0.25">
      <c r="A68" s="9">
        <v>10520</v>
      </c>
      <c r="B68" s="4">
        <v>44886</v>
      </c>
      <c r="C68" s="4" t="str">
        <f>TEXT(Table1[[#This Row],[Date]],"mmmm")</f>
        <v>November</v>
      </c>
      <c r="D68" s="4" t="str">
        <f>TEXT(Table1[[#This Row],[Date]],"dddd")</f>
        <v>Monday</v>
      </c>
      <c r="E68" t="s">
        <v>20</v>
      </c>
      <c r="F68" s="11">
        <v>13</v>
      </c>
      <c r="G68">
        <v>493</v>
      </c>
      <c r="H68" s="8" t="s">
        <v>35</v>
      </c>
      <c r="I68" s="8" t="s">
        <v>36</v>
      </c>
      <c r="J68" t="s">
        <v>27</v>
      </c>
      <c r="K68" t="s">
        <v>26</v>
      </c>
      <c r="L68" t="str" cm="1">
        <f t="array" ref="L68">_xlfn.IFS(Table1[[#This Row],[City]]="Berlin","Germany",Table1[[#This Row],[City]]="Lisbon","Portugal",Table1[[#This Row],[City]]="London","United Kingdom",Table1[[#This Row],[City]]="Madrid","Spain",Table1[[#This Row],[City]]="Paris","France")</f>
        <v>France</v>
      </c>
      <c r="M68" s="12">
        <f>Table1[[#This Row],[Price]]*Table1[[#This Row],[Quantity]]</f>
        <v>6409</v>
      </c>
      <c r="N68" s="12" t="str" cm="1">
        <f t="array" ref="N68">_xlfn.IFS(Table1[[#This Row],[Revenue]]&lt;=3267,"Low Sales",Table1[[#This Row],[Revenue]]&lt;=6534,"Fair Sales",Table1[[#This Row],[Revenue]]&gt;6534,"High Sales")</f>
        <v>Fair Sales</v>
      </c>
    </row>
    <row r="69" spans="1:14" x14ac:dyDescent="0.25">
      <c r="A69" s="9">
        <v>10521</v>
      </c>
      <c r="B69" s="4">
        <v>44886</v>
      </c>
      <c r="C69" s="4" t="str">
        <f>TEXT(Table1[[#This Row],[Date]],"mmmm")</f>
        <v>November</v>
      </c>
      <c r="D69" s="4" t="str">
        <f>TEXT(Table1[[#This Row],[Date]],"dddd")</f>
        <v>Monday</v>
      </c>
      <c r="E69" t="s">
        <v>24</v>
      </c>
      <c r="F69" s="11">
        <v>10</v>
      </c>
      <c r="G69">
        <v>201</v>
      </c>
      <c r="H69" s="8" t="s">
        <v>35</v>
      </c>
      <c r="I69" s="8" t="s">
        <v>36</v>
      </c>
      <c r="J69" t="s">
        <v>27</v>
      </c>
      <c r="K69" t="s">
        <v>26</v>
      </c>
      <c r="L69" t="str" cm="1">
        <f t="array" ref="L69">_xlfn.IFS(Table1[[#This Row],[City]]="Berlin","Germany",Table1[[#This Row],[City]]="Lisbon","Portugal",Table1[[#This Row],[City]]="London","United Kingdom",Table1[[#This Row],[City]]="Madrid","Spain",Table1[[#This Row],[City]]="Paris","France")</f>
        <v>France</v>
      </c>
      <c r="M69" s="12">
        <f>Table1[[#This Row],[Price]]*Table1[[#This Row],[Quantity]]</f>
        <v>2010</v>
      </c>
      <c r="N69" s="12" t="str" cm="1">
        <f t="array" ref="N69">_xlfn.IFS(Table1[[#This Row],[Revenue]]&lt;=3267,"Low Sales",Table1[[#This Row],[Revenue]]&lt;=6534,"Fair Sales",Table1[[#This Row],[Revenue]]&gt;6534,"High Sales")</f>
        <v>Low Sales</v>
      </c>
    </row>
    <row r="70" spans="1:14" x14ac:dyDescent="0.25">
      <c r="A70" s="9">
        <v>10522</v>
      </c>
      <c r="B70" s="4">
        <v>44886</v>
      </c>
      <c r="C70" s="4" t="str">
        <f>TEXT(Table1[[#This Row],[Date]],"mmmm")</f>
        <v>November</v>
      </c>
      <c r="D70" s="4" t="str">
        <f>TEXT(Table1[[#This Row],[Date]],"dddd")</f>
        <v>Monday</v>
      </c>
      <c r="E70" t="s">
        <v>8</v>
      </c>
      <c r="F70" s="11">
        <v>4</v>
      </c>
      <c r="G70">
        <v>688</v>
      </c>
      <c r="H70" s="8" t="s">
        <v>35</v>
      </c>
      <c r="I70" s="8" t="s">
        <v>36</v>
      </c>
      <c r="J70" t="s">
        <v>27</v>
      </c>
      <c r="K70" t="s">
        <v>26</v>
      </c>
      <c r="L70" t="str" cm="1">
        <f t="array" ref="L70">_xlfn.IFS(Table1[[#This Row],[City]]="Berlin","Germany",Table1[[#This Row],[City]]="Lisbon","Portugal",Table1[[#This Row],[City]]="London","United Kingdom",Table1[[#This Row],[City]]="Madrid","Spain",Table1[[#This Row],[City]]="Paris","France")</f>
        <v>France</v>
      </c>
      <c r="M70" s="12">
        <f>Table1[[#This Row],[Price]]*Table1[[#This Row],[Quantity]]</f>
        <v>2752</v>
      </c>
      <c r="N70" s="12" t="str" cm="1">
        <f t="array" ref="N70">_xlfn.IFS(Table1[[#This Row],[Revenue]]&lt;=3267,"Low Sales",Table1[[#This Row],[Revenue]]&lt;=6534,"Fair Sales",Table1[[#This Row],[Revenue]]&gt;6534,"High Sales")</f>
        <v>Low Sales</v>
      </c>
    </row>
    <row r="71" spans="1:14" x14ac:dyDescent="0.25">
      <c r="A71" s="9">
        <v>10523</v>
      </c>
      <c r="B71" s="4">
        <v>44886</v>
      </c>
      <c r="C71" s="4" t="str">
        <f>TEXT(Table1[[#This Row],[Date]],"mmmm")</f>
        <v>November</v>
      </c>
      <c r="D71" s="4" t="str">
        <f>TEXT(Table1[[#This Row],[Date]],"dddd")</f>
        <v>Monday</v>
      </c>
      <c r="E71" t="s">
        <v>13</v>
      </c>
      <c r="F71" s="11">
        <v>3</v>
      </c>
      <c r="G71">
        <v>746</v>
      </c>
      <c r="H71" s="8" t="s">
        <v>35</v>
      </c>
      <c r="I71" s="8" t="s">
        <v>36</v>
      </c>
      <c r="J71" t="s">
        <v>27</v>
      </c>
      <c r="K71" t="s">
        <v>26</v>
      </c>
      <c r="L71" t="str" cm="1">
        <f t="array" ref="L71">_xlfn.IFS(Table1[[#This Row],[City]]="Berlin","Germany",Table1[[#This Row],[City]]="Lisbon","Portugal",Table1[[#This Row],[City]]="London","United Kingdom",Table1[[#This Row],[City]]="Madrid","Spain",Table1[[#This Row],[City]]="Paris","France")</f>
        <v>France</v>
      </c>
      <c r="M71" s="12">
        <f>Table1[[#This Row],[Price]]*Table1[[#This Row],[Quantity]]</f>
        <v>2238</v>
      </c>
      <c r="N71" s="12" t="str" cm="1">
        <f t="array" ref="N71">_xlfn.IFS(Table1[[#This Row],[Revenue]]&lt;=3267,"Low Sales",Table1[[#This Row],[Revenue]]&lt;=6534,"Fair Sales",Table1[[#This Row],[Revenue]]&gt;6534,"High Sales")</f>
        <v>Low Sales</v>
      </c>
    </row>
    <row r="72" spans="1:14" x14ac:dyDescent="0.25">
      <c r="A72" s="9">
        <v>10524</v>
      </c>
      <c r="B72" s="4">
        <v>44886</v>
      </c>
      <c r="C72" s="4" t="str">
        <f>TEXT(Table1[[#This Row],[Date]],"mmmm")</f>
        <v>November</v>
      </c>
      <c r="D72" s="4" t="str">
        <f>TEXT(Table1[[#This Row],[Date]],"dddd")</f>
        <v>Monday</v>
      </c>
      <c r="E72" t="s">
        <v>16</v>
      </c>
      <c r="F72" s="11">
        <v>5</v>
      </c>
      <c r="G72">
        <v>200</v>
      </c>
      <c r="H72" s="8" t="s">
        <v>35</v>
      </c>
      <c r="I72" s="8" t="s">
        <v>36</v>
      </c>
      <c r="J72" t="s">
        <v>27</v>
      </c>
      <c r="K72" t="s">
        <v>26</v>
      </c>
      <c r="L72" t="str" cm="1">
        <f t="array" ref="L72">_xlfn.IFS(Table1[[#This Row],[City]]="Berlin","Germany",Table1[[#This Row],[City]]="Lisbon","Portugal",Table1[[#This Row],[City]]="London","United Kingdom",Table1[[#This Row],[City]]="Madrid","Spain",Table1[[#This Row],[City]]="Paris","France")</f>
        <v>France</v>
      </c>
      <c r="M72" s="12">
        <f>Table1[[#This Row],[Price]]*Table1[[#This Row],[Quantity]]</f>
        <v>1000</v>
      </c>
      <c r="N72" s="12" t="str" cm="1">
        <f t="array" ref="N72">_xlfn.IFS(Table1[[#This Row],[Revenue]]&lt;=3267,"Low Sales",Table1[[#This Row],[Revenue]]&lt;=6534,"Fair Sales",Table1[[#This Row],[Revenue]]&gt;6534,"High Sales")</f>
        <v>Low Sales</v>
      </c>
    </row>
    <row r="73" spans="1:14" x14ac:dyDescent="0.25">
      <c r="A73" s="9">
        <v>10525</v>
      </c>
      <c r="B73" s="4">
        <v>44887</v>
      </c>
      <c r="C73" s="4" t="str">
        <f>TEXT(Table1[[#This Row],[Date]],"mmmm")</f>
        <v>November</v>
      </c>
      <c r="D73" s="4" t="str">
        <f>TEXT(Table1[[#This Row],[Date]],"dddd")</f>
        <v>Tuesday</v>
      </c>
      <c r="E73" t="s">
        <v>20</v>
      </c>
      <c r="F73" s="11">
        <v>13</v>
      </c>
      <c r="G73">
        <v>462</v>
      </c>
      <c r="H73" s="8" t="s">
        <v>35</v>
      </c>
      <c r="I73" s="8" t="s">
        <v>36</v>
      </c>
      <c r="J73" t="s">
        <v>27</v>
      </c>
      <c r="K73" t="s">
        <v>26</v>
      </c>
      <c r="L73" t="str" cm="1">
        <f t="array" ref="L73">_xlfn.IFS(Table1[[#This Row],[City]]="Berlin","Germany",Table1[[#This Row],[City]]="Lisbon","Portugal",Table1[[#This Row],[City]]="London","United Kingdom",Table1[[#This Row],[City]]="Madrid","Spain",Table1[[#This Row],[City]]="Paris","France")</f>
        <v>France</v>
      </c>
      <c r="M73" s="12">
        <f>Table1[[#This Row],[Price]]*Table1[[#This Row],[Quantity]]</f>
        <v>6006</v>
      </c>
      <c r="N73" s="12" t="str" cm="1">
        <f t="array" ref="N73">_xlfn.IFS(Table1[[#This Row],[Revenue]]&lt;=3267,"Low Sales",Table1[[#This Row],[Revenue]]&lt;=6534,"Fair Sales",Table1[[#This Row],[Revenue]]&gt;6534,"High Sales")</f>
        <v>Fair Sales</v>
      </c>
    </row>
    <row r="74" spans="1:14" x14ac:dyDescent="0.25">
      <c r="A74" s="9">
        <v>10526</v>
      </c>
      <c r="B74" s="4">
        <v>44887</v>
      </c>
      <c r="C74" s="4" t="str">
        <f>TEXT(Table1[[#This Row],[Date]],"mmmm")</f>
        <v>November</v>
      </c>
      <c r="D74" s="4" t="str">
        <f>TEXT(Table1[[#This Row],[Date]],"dddd")</f>
        <v>Tuesday</v>
      </c>
      <c r="E74" t="s">
        <v>24</v>
      </c>
      <c r="F74" s="11">
        <v>10</v>
      </c>
      <c r="G74">
        <v>201</v>
      </c>
      <c r="H74" s="8" t="s">
        <v>35</v>
      </c>
      <c r="I74" s="8" t="s">
        <v>36</v>
      </c>
      <c r="J74" t="s">
        <v>27</v>
      </c>
      <c r="K74" t="s">
        <v>26</v>
      </c>
      <c r="L74" t="str" cm="1">
        <f t="array" ref="L74">_xlfn.IFS(Table1[[#This Row],[City]]="Berlin","Germany",Table1[[#This Row],[City]]="Lisbon","Portugal",Table1[[#This Row],[City]]="London","United Kingdom",Table1[[#This Row],[City]]="Madrid","Spain",Table1[[#This Row],[City]]="Paris","France")</f>
        <v>France</v>
      </c>
      <c r="M74" s="12">
        <f>Table1[[#This Row],[Price]]*Table1[[#This Row],[Quantity]]</f>
        <v>2010</v>
      </c>
      <c r="N74" s="12" t="str" cm="1">
        <f t="array" ref="N74">_xlfn.IFS(Table1[[#This Row],[Revenue]]&lt;=3267,"Low Sales",Table1[[#This Row],[Revenue]]&lt;=6534,"Fair Sales",Table1[[#This Row],[Revenue]]&gt;6534,"High Sales")</f>
        <v>Low Sales</v>
      </c>
    </row>
    <row r="75" spans="1:14" x14ac:dyDescent="0.25">
      <c r="A75" s="9">
        <v>10527</v>
      </c>
      <c r="B75" s="4">
        <v>44887</v>
      </c>
      <c r="C75" s="4" t="str">
        <f>TEXT(Table1[[#This Row],[Date]],"mmmm")</f>
        <v>November</v>
      </c>
      <c r="D75" s="4" t="str">
        <f>TEXT(Table1[[#This Row],[Date]],"dddd")</f>
        <v>Tuesday</v>
      </c>
      <c r="E75" t="s">
        <v>8</v>
      </c>
      <c r="F75" s="11">
        <v>4</v>
      </c>
      <c r="G75">
        <v>688</v>
      </c>
      <c r="H75" s="8" t="s">
        <v>35</v>
      </c>
      <c r="I75" s="8" t="s">
        <v>36</v>
      </c>
      <c r="J75" t="s">
        <v>27</v>
      </c>
      <c r="K75" t="s">
        <v>26</v>
      </c>
      <c r="L75" t="str" cm="1">
        <f t="array" ref="L75">_xlfn.IFS(Table1[[#This Row],[City]]="Berlin","Germany",Table1[[#This Row],[City]]="Lisbon","Portugal",Table1[[#This Row],[City]]="London","United Kingdom",Table1[[#This Row],[City]]="Madrid","Spain",Table1[[#This Row],[City]]="Paris","France")</f>
        <v>France</v>
      </c>
      <c r="M75" s="12">
        <f>Table1[[#This Row],[Price]]*Table1[[#This Row],[Quantity]]</f>
        <v>2752</v>
      </c>
      <c r="N75" s="12" t="str" cm="1">
        <f t="array" ref="N75">_xlfn.IFS(Table1[[#This Row],[Revenue]]&lt;=3267,"Low Sales",Table1[[#This Row],[Revenue]]&lt;=6534,"Fair Sales",Table1[[#This Row],[Revenue]]&gt;6534,"High Sales")</f>
        <v>Low Sales</v>
      </c>
    </row>
    <row r="76" spans="1:14" x14ac:dyDescent="0.25">
      <c r="A76" s="9">
        <v>10528</v>
      </c>
      <c r="B76" s="4">
        <v>44887</v>
      </c>
      <c r="C76" s="4" t="str">
        <f>TEXT(Table1[[#This Row],[Date]],"mmmm")</f>
        <v>November</v>
      </c>
      <c r="D76" s="4" t="str">
        <f>TEXT(Table1[[#This Row],[Date]],"dddd")</f>
        <v>Tuesday</v>
      </c>
      <c r="E76" t="s">
        <v>13</v>
      </c>
      <c r="F76" s="11">
        <v>3</v>
      </c>
      <c r="G76">
        <v>746</v>
      </c>
      <c r="H76" s="8" t="s">
        <v>35</v>
      </c>
      <c r="I76" s="8" t="s">
        <v>36</v>
      </c>
      <c r="J76" t="s">
        <v>27</v>
      </c>
      <c r="K76" t="s">
        <v>26</v>
      </c>
      <c r="L76" t="str" cm="1">
        <f t="array" ref="L76">_xlfn.IFS(Table1[[#This Row],[City]]="Berlin","Germany",Table1[[#This Row],[City]]="Lisbon","Portugal",Table1[[#This Row],[City]]="London","United Kingdom",Table1[[#This Row],[City]]="Madrid","Spain",Table1[[#This Row],[City]]="Paris","France")</f>
        <v>France</v>
      </c>
      <c r="M76" s="12">
        <f>Table1[[#This Row],[Price]]*Table1[[#This Row],[Quantity]]</f>
        <v>2238</v>
      </c>
      <c r="N76" s="12" t="str" cm="1">
        <f t="array" ref="N76">_xlfn.IFS(Table1[[#This Row],[Revenue]]&lt;=3267,"Low Sales",Table1[[#This Row],[Revenue]]&lt;=6534,"Fair Sales",Table1[[#This Row],[Revenue]]&gt;6534,"High Sales")</f>
        <v>Low Sales</v>
      </c>
    </row>
    <row r="77" spans="1:14" x14ac:dyDescent="0.25">
      <c r="A77" s="9">
        <v>10529</v>
      </c>
      <c r="B77" s="4">
        <v>44887</v>
      </c>
      <c r="C77" s="4" t="str">
        <f>TEXT(Table1[[#This Row],[Date]],"mmmm")</f>
        <v>November</v>
      </c>
      <c r="D77" s="4" t="str">
        <f>TEXT(Table1[[#This Row],[Date]],"dddd")</f>
        <v>Tuesday</v>
      </c>
      <c r="E77" t="s">
        <v>16</v>
      </c>
      <c r="F77" s="11">
        <v>5</v>
      </c>
      <c r="G77">
        <v>200</v>
      </c>
      <c r="H77" s="8" t="s">
        <v>35</v>
      </c>
      <c r="I77" s="8" t="s">
        <v>36</v>
      </c>
      <c r="J77" t="s">
        <v>27</v>
      </c>
      <c r="K77" t="s">
        <v>26</v>
      </c>
      <c r="L77" t="str" cm="1">
        <f t="array" ref="L77">_xlfn.IFS(Table1[[#This Row],[City]]="Berlin","Germany",Table1[[#This Row],[City]]="Lisbon","Portugal",Table1[[#This Row],[City]]="London","United Kingdom",Table1[[#This Row],[City]]="Madrid","Spain",Table1[[#This Row],[City]]="Paris","France")</f>
        <v>France</v>
      </c>
      <c r="M77" s="12">
        <f>Table1[[#This Row],[Price]]*Table1[[#This Row],[Quantity]]</f>
        <v>1000</v>
      </c>
      <c r="N77" s="12" t="str" cm="1">
        <f t="array" ref="N77">_xlfn.IFS(Table1[[#This Row],[Revenue]]&lt;=3267,"Low Sales",Table1[[#This Row],[Revenue]]&lt;=6534,"Fair Sales",Table1[[#This Row],[Revenue]]&gt;6534,"High Sales")</f>
        <v>Low Sales</v>
      </c>
    </row>
    <row r="78" spans="1:14" x14ac:dyDescent="0.25">
      <c r="A78" s="9">
        <v>10530</v>
      </c>
      <c r="B78" s="4">
        <v>44888</v>
      </c>
      <c r="C78" s="4" t="str">
        <f>TEXT(Table1[[#This Row],[Date]],"mmmm")</f>
        <v>November</v>
      </c>
      <c r="D78" s="4" t="str">
        <f>TEXT(Table1[[#This Row],[Date]],"dddd")</f>
        <v>Wednesday</v>
      </c>
      <c r="E78" t="s">
        <v>20</v>
      </c>
      <c r="F78" s="11">
        <v>13</v>
      </c>
      <c r="G78">
        <v>477</v>
      </c>
      <c r="H78" s="8" t="s">
        <v>35</v>
      </c>
      <c r="I78" s="8" t="s">
        <v>36</v>
      </c>
      <c r="J78" t="s">
        <v>27</v>
      </c>
      <c r="K78" t="s">
        <v>26</v>
      </c>
      <c r="L78" t="str" cm="1">
        <f t="array" ref="L78">_xlfn.IFS(Table1[[#This Row],[City]]="Berlin","Germany",Table1[[#This Row],[City]]="Lisbon","Portugal",Table1[[#This Row],[City]]="London","United Kingdom",Table1[[#This Row],[City]]="Madrid","Spain",Table1[[#This Row],[City]]="Paris","France")</f>
        <v>France</v>
      </c>
      <c r="M78" s="12">
        <f>Table1[[#This Row],[Price]]*Table1[[#This Row],[Quantity]]</f>
        <v>6201</v>
      </c>
      <c r="N78" s="12" t="str" cm="1">
        <f t="array" ref="N78">_xlfn.IFS(Table1[[#This Row],[Revenue]]&lt;=3267,"Low Sales",Table1[[#This Row],[Revenue]]&lt;=6534,"Fair Sales",Table1[[#This Row],[Revenue]]&gt;6534,"High Sales")</f>
        <v>Fair Sales</v>
      </c>
    </row>
    <row r="79" spans="1:14" x14ac:dyDescent="0.25">
      <c r="A79" s="9">
        <v>10531</v>
      </c>
      <c r="B79" s="4">
        <v>44888</v>
      </c>
      <c r="C79" s="4" t="str">
        <f>TEXT(Table1[[#This Row],[Date]],"mmmm")</f>
        <v>November</v>
      </c>
      <c r="D79" s="4" t="str">
        <f>TEXT(Table1[[#This Row],[Date]],"dddd")</f>
        <v>Wednesday</v>
      </c>
      <c r="E79" t="s">
        <v>24</v>
      </c>
      <c r="F79" s="11">
        <v>10</v>
      </c>
      <c r="G79">
        <v>201</v>
      </c>
      <c r="H79" s="8" t="s">
        <v>35</v>
      </c>
      <c r="I79" s="8" t="s">
        <v>36</v>
      </c>
      <c r="J79" t="s">
        <v>27</v>
      </c>
      <c r="K79" t="s">
        <v>26</v>
      </c>
      <c r="L79" t="str" cm="1">
        <f t="array" ref="L79">_xlfn.IFS(Table1[[#This Row],[City]]="Berlin","Germany",Table1[[#This Row],[City]]="Lisbon","Portugal",Table1[[#This Row],[City]]="London","United Kingdom",Table1[[#This Row],[City]]="Madrid","Spain",Table1[[#This Row],[City]]="Paris","France")</f>
        <v>France</v>
      </c>
      <c r="M79" s="12">
        <f>Table1[[#This Row],[Price]]*Table1[[#This Row],[Quantity]]</f>
        <v>2010</v>
      </c>
      <c r="N79" s="12" t="str" cm="1">
        <f t="array" ref="N79">_xlfn.IFS(Table1[[#This Row],[Revenue]]&lt;=3267,"Low Sales",Table1[[#This Row],[Revenue]]&lt;=6534,"Fair Sales",Table1[[#This Row],[Revenue]]&gt;6534,"High Sales")</f>
        <v>Low Sales</v>
      </c>
    </row>
    <row r="80" spans="1:14" x14ac:dyDescent="0.25">
      <c r="A80" s="9">
        <v>10532</v>
      </c>
      <c r="B80" s="4">
        <v>44888</v>
      </c>
      <c r="C80" s="4" t="str">
        <f>TEXT(Table1[[#This Row],[Date]],"mmmm")</f>
        <v>November</v>
      </c>
      <c r="D80" s="4" t="str">
        <f>TEXT(Table1[[#This Row],[Date]],"dddd")</f>
        <v>Wednesday</v>
      </c>
      <c r="E80" t="s">
        <v>8</v>
      </c>
      <c r="F80" s="11">
        <v>4</v>
      </c>
      <c r="G80">
        <v>688</v>
      </c>
      <c r="H80" s="8" t="s">
        <v>35</v>
      </c>
      <c r="I80" s="8" t="s">
        <v>36</v>
      </c>
      <c r="J80" t="s">
        <v>34</v>
      </c>
      <c r="K80" t="s">
        <v>19</v>
      </c>
      <c r="L80" t="str" cm="1">
        <f t="array" ref="L80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80" s="12">
        <f>Table1[[#This Row],[Price]]*Table1[[#This Row],[Quantity]]</f>
        <v>2752</v>
      </c>
      <c r="N80" s="12" t="str" cm="1">
        <f t="array" ref="N80">_xlfn.IFS(Table1[[#This Row],[Revenue]]&lt;=3267,"Low Sales",Table1[[#This Row],[Revenue]]&lt;=6534,"Fair Sales",Table1[[#This Row],[Revenue]]&gt;6534,"High Sales")</f>
        <v>Low Sales</v>
      </c>
    </row>
    <row r="81" spans="1:14" x14ac:dyDescent="0.25">
      <c r="A81" s="9">
        <v>10533</v>
      </c>
      <c r="B81" s="4">
        <v>44888</v>
      </c>
      <c r="C81" s="4" t="str">
        <f>TEXT(Table1[[#This Row],[Date]],"mmmm")</f>
        <v>November</v>
      </c>
      <c r="D81" s="4" t="str">
        <f>TEXT(Table1[[#This Row],[Date]],"dddd")</f>
        <v>Wednesday</v>
      </c>
      <c r="E81" t="s">
        <v>13</v>
      </c>
      <c r="F81" s="11">
        <v>3</v>
      </c>
      <c r="G81">
        <v>746</v>
      </c>
      <c r="H81" s="8" t="s">
        <v>35</v>
      </c>
      <c r="I81" s="8" t="s">
        <v>36</v>
      </c>
      <c r="J81" t="s">
        <v>34</v>
      </c>
      <c r="K81" t="s">
        <v>19</v>
      </c>
      <c r="L81" t="str" cm="1">
        <f t="array" ref="L81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81" s="12">
        <f>Table1[[#This Row],[Price]]*Table1[[#This Row],[Quantity]]</f>
        <v>2238</v>
      </c>
      <c r="N81" s="12" t="str" cm="1">
        <f t="array" ref="N81">_xlfn.IFS(Table1[[#This Row],[Revenue]]&lt;=3267,"Low Sales",Table1[[#This Row],[Revenue]]&lt;=6534,"Fair Sales",Table1[[#This Row],[Revenue]]&gt;6534,"High Sales")</f>
        <v>Low Sales</v>
      </c>
    </row>
    <row r="82" spans="1:14" x14ac:dyDescent="0.25">
      <c r="A82" s="9">
        <v>10534</v>
      </c>
      <c r="B82" s="4">
        <v>44888</v>
      </c>
      <c r="C82" s="4" t="str">
        <f>TEXT(Table1[[#This Row],[Date]],"mmmm")</f>
        <v>November</v>
      </c>
      <c r="D82" s="4" t="str">
        <f>TEXT(Table1[[#This Row],[Date]],"dddd")</f>
        <v>Wednesday</v>
      </c>
      <c r="E82" t="s">
        <v>16</v>
      </c>
      <c r="F82" s="11">
        <v>5</v>
      </c>
      <c r="G82">
        <v>200</v>
      </c>
      <c r="H82" s="8" t="s">
        <v>35</v>
      </c>
      <c r="I82" s="8" t="s">
        <v>36</v>
      </c>
      <c r="J82" t="s">
        <v>30</v>
      </c>
      <c r="K82" t="s">
        <v>15</v>
      </c>
      <c r="L82" t="str" cm="1">
        <f t="array" ref="L82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82" s="12">
        <f>Table1[[#This Row],[Price]]*Table1[[#This Row],[Quantity]]</f>
        <v>1000</v>
      </c>
      <c r="N82" s="12" t="str" cm="1">
        <f t="array" ref="N82">_xlfn.IFS(Table1[[#This Row],[Revenue]]&lt;=3267,"Low Sales",Table1[[#This Row],[Revenue]]&lt;=6534,"Fair Sales",Table1[[#This Row],[Revenue]]&gt;6534,"High Sales")</f>
        <v>Low Sales</v>
      </c>
    </row>
    <row r="83" spans="1:14" x14ac:dyDescent="0.25">
      <c r="A83" s="9">
        <v>10535</v>
      </c>
      <c r="B83" s="4">
        <v>44889</v>
      </c>
      <c r="C83" s="4" t="str">
        <f>TEXT(Table1[[#This Row],[Date]],"mmmm")</f>
        <v>November</v>
      </c>
      <c r="D83" s="4" t="str">
        <f>TEXT(Table1[[#This Row],[Date]],"dddd")</f>
        <v>Thursday</v>
      </c>
      <c r="E83" t="s">
        <v>20</v>
      </c>
      <c r="F83" s="11">
        <v>13</v>
      </c>
      <c r="G83">
        <v>477</v>
      </c>
      <c r="H83" s="8" t="s">
        <v>35</v>
      </c>
      <c r="I83" s="8" t="s">
        <v>21</v>
      </c>
      <c r="J83" t="s">
        <v>30</v>
      </c>
      <c r="K83" t="s">
        <v>15</v>
      </c>
      <c r="L83" t="str" cm="1">
        <f t="array" ref="L83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83" s="12">
        <f>Table1[[#This Row],[Price]]*Table1[[#This Row],[Quantity]]</f>
        <v>6201</v>
      </c>
      <c r="N83" s="12" t="str" cm="1">
        <f t="array" ref="N83">_xlfn.IFS(Table1[[#This Row],[Revenue]]&lt;=3267,"Low Sales",Table1[[#This Row],[Revenue]]&lt;=6534,"Fair Sales",Table1[[#This Row],[Revenue]]&gt;6534,"High Sales")</f>
        <v>Fair Sales</v>
      </c>
    </row>
    <row r="84" spans="1:14" x14ac:dyDescent="0.25">
      <c r="A84" s="9">
        <v>10536</v>
      </c>
      <c r="B84" s="4">
        <v>44889</v>
      </c>
      <c r="C84" s="4" t="str">
        <f>TEXT(Table1[[#This Row],[Date]],"mmmm")</f>
        <v>November</v>
      </c>
      <c r="D84" s="4" t="str">
        <f>TEXT(Table1[[#This Row],[Date]],"dddd")</f>
        <v>Thursday</v>
      </c>
      <c r="E84" t="s">
        <v>24</v>
      </c>
      <c r="F84" s="11">
        <v>10</v>
      </c>
      <c r="G84">
        <v>201</v>
      </c>
      <c r="H84" s="8" t="s">
        <v>35</v>
      </c>
      <c r="I84" s="8" t="s">
        <v>21</v>
      </c>
      <c r="J84" t="s">
        <v>30</v>
      </c>
      <c r="K84" t="s">
        <v>15</v>
      </c>
      <c r="L84" t="str" cm="1">
        <f t="array" ref="L84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84" s="12">
        <f>Table1[[#This Row],[Price]]*Table1[[#This Row],[Quantity]]</f>
        <v>2010</v>
      </c>
      <c r="N84" s="12" t="str" cm="1">
        <f t="array" ref="N84">_xlfn.IFS(Table1[[#This Row],[Revenue]]&lt;=3267,"Low Sales",Table1[[#This Row],[Revenue]]&lt;=6534,"Fair Sales",Table1[[#This Row],[Revenue]]&gt;6534,"High Sales")</f>
        <v>Low Sales</v>
      </c>
    </row>
    <row r="85" spans="1:14" x14ac:dyDescent="0.25">
      <c r="A85" s="9">
        <v>10537</v>
      </c>
      <c r="B85" s="4">
        <v>44889</v>
      </c>
      <c r="C85" s="4" t="str">
        <f>TEXT(Table1[[#This Row],[Date]],"mmmm")</f>
        <v>November</v>
      </c>
      <c r="D85" s="4" t="str">
        <f>TEXT(Table1[[#This Row],[Date]],"dddd")</f>
        <v>Thursday</v>
      </c>
      <c r="E85" t="s">
        <v>8</v>
      </c>
      <c r="F85" s="11">
        <v>4</v>
      </c>
      <c r="G85">
        <v>630</v>
      </c>
      <c r="H85" s="8" t="s">
        <v>35</v>
      </c>
      <c r="I85" s="8" t="s">
        <v>21</v>
      </c>
      <c r="J85" t="s">
        <v>30</v>
      </c>
      <c r="K85" t="s">
        <v>15</v>
      </c>
      <c r="L85" t="str" cm="1">
        <f t="array" ref="L85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85" s="12">
        <f>Table1[[#This Row],[Price]]*Table1[[#This Row],[Quantity]]</f>
        <v>2520</v>
      </c>
      <c r="N85" s="12" t="str" cm="1">
        <f t="array" ref="N85">_xlfn.IFS(Table1[[#This Row],[Revenue]]&lt;=3267,"Low Sales",Table1[[#This Row],[Revenue]]&lt;=6534,"Fair Sales",Table1[[#This Row],[Revenue]]&gt;6534,"High Sales")</f>
        <v>Low Sales</v>
      </c>
    </row>
    <row r="86" spans="1:14" x14ac:dyDescent="0.25">
      <c r="A86" s="9">
        <v>10538</v>
      </c>
      <c r="B86" s="4">
        <v>44889</v>
      </c>
      <c r="C86" s="4" t="str">
        <f>TEXT(Table1[[#This Row],[Date]],"mmmm")</f>
        <v>November</v>
      </c>
      <c r="D86" s="4" t="str">
        <f>TEXT(Table1[[#This Row],[Date]],"dddd")</f>
        <v>Thursday</v>
      </c>
      <c r="E86" t="s">
        <v>13</v>
      </c>
      <c r="F86" s="11">
        <v>3</v>
      </c>
      <c r="G86">
        <v>746</v>
      </c>
      <c r="H86" s="8" t="s">
        <v>35</v>
      </c>
      <c r="I86" s="8" t="s">
        <v>21</v>
      </c>
      <c r="J86" t="s">
        <v>30</v>
      </c>
      <c r="K86" t="s">
        <v>15</v>
      </c>
      <c r="L86" t="str" cm="1">
        <f t="array" ref="L86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86" s="12">
        <f>Table1[[#This Row],[Price]]*Table1[[#This Row],[Quantity]]</f>
        <v>2238</v>
      </c>
      <c r="N86" s="12" t="str" cm="1">
        <f t="array" ref="N86">_xlfn.IFS(Table1[[#This Row],[Revenue]]&lt;=3267,"Low Sales",Table1[[#This Row],[Revenue]]&lt;=6534,"Fair Sales",Table1[[#This Row],[Revenue]]&gt;6534,"High Sales")</f>
        <v>Low Sales</v>
      </c>
    </row>
    <row r="87" spans="1:14" x14ac:dyDescent="0.25">
      <c r="A87" s="9">
        <v>10539</v>
      </c>
      <c r="B87" s="4">
        <v>44889</v>
      </c>
      <c r="C87" s="4" t="str">
        <f>TEXT(Table1[[#This Row],[Date]],"mmmm")</f>
        <v>November</v>
      </c>
      <c r="D87" s="4" t="str">
        <f>TEXT(Table1[[#This Row],[Date]],"dddd")</f>
        <v>Thursday</v>
      </c>
      <c r="E87" t="s">
        <v>16</v>
      </c>
      <c r="F87" s="11">
        <v>5</v>
      </c>
      <c r="G87">
        <v>200</v>
      </c>
      <c r="H87" s="8" t="s">
        <v>35</v>
      </c>
      <c r="I87" s="8" t="s">
        <v>21</v>
      </c>
      <c r="J87" t="s">
        <v>30</v>
      </c>
      <c r="K87" t="s">
        <v>15</v>
      </c>
      <c r="L87" t="str" cm="1">
        <f t="array" ref="L87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87" s="12">
        <f>Table1[[#This Row],[Price]]*Table1[[#This Row],[Quantity]]</f>
        <v>1000</v>
      </c>
      <c r="N87" s="12" t="str" cm="1">
        <f t="array" ref="N87">_xlfn.IFS(Table1[[#This Row],[Revenue]]&lt;=3267,"Low Sales",Table1[[#This Row],[Revenue]]&lt;=6534,"Fair Sales",Table1[[#This Row],[Revenue]]&gt;6534,"High Sales")</f>
        <v>Low Sales</v>
      </c>
    </row>
    <row r="88" spans="1:14" x14ac:dyDescent="0.25">
      <c r="A88" s="9">
        <v>10540</v>
      </c>
      <c r="B88" s="4">
        <v>44890</v>
      </c>
      <c r="C88" s="4" t="str">
        <f>TEXT(Table1[[#This Row],[Date]],"mmmm")</f>
        <v>November</v>
      </c>
      <c r="D88" s="4" t="str">
        <f>TEXT(Table1[[#This Row],[Date]],"dddd")</f>
        <v>Friday</v>
      </c>
      <c r="E88" t="s">
        <v>20</v>
      </c>
      <c r="F88" s="11">
        <v>13</v>
      </c>
      <c r="G88">
        <v>462</v>
      </c>
      <c r="H88" s="8" t="s">
        <v>35</v>
      </c>
      <c r="I88" s="8" t="s">
        <v>21</v>
      </c>
      <c r="J88" t="s">
        <v>30</v>
      </c>
      <c r="K88" t="s">
        <v>15</v>
      </c>
      <c r="L88" t="str" cm="1">
        <f t="array" ref="L88">_xlfn.IFS(Table1[[#This Row],[City]]="Berlin","Germany",Table1[[#This Row],[City]]="Lisbon","Portugal",Table1[[#This Row],[City]]="London","United Kingdom",Table1[[#This Row],[City]]="Madrid","Spain",Table1[[#This Row],[City]]="Paris","France")</f>
        <v>Spain</v>
      </c>
      <c r="M88" s="12">
        <f>Table1[[#This Row],[Price]]*Table1[[#This Row],[Quantity]]</f>
        <v>6006</v>
      </c>
      <c r="N88" s="12" t="str" cm="1">
        <f t="array" ref="N88">_xlfn.IFS(Table1[[#This Row],[Revenue]]&lt;=3267,"Low Sales",Table1[[#This Row],[Revenue]]&lt;=6534,"Fair Sales",Table1[[#This Row],[Revenue]]&gt;6534,"High Sales")</f>
        <v>Fair Sales</v>
      </c>
    </row>
    <row r="89" spans="1:14" x14ac:dyDescent="0.25">
      <c r="A89" s="9">
        <v>10541</v>
      </c>
      <c r="B89" s="4">
        <v>44890</v>
      </c>
      <c r="C89" s="4" t="str">
        <f>TEXT(Table1[[#This Row],[Date]],"mmmm")</f>
        <v>November</v>
      </c>
      <c r="D89" s="4" t="str">
        <f>TEXT(Table1[[#This Row],[Date]],"dddd")</f>
        <v>Friday</v>
      </c>
      <c r="E89" t="s">
        <v>24</v>
      </c>
      <c r="F89" s="11">
        <v>10</v>
      </c>
      <c r="G89">
        <v>201</v>
      </c>
      <c r="H89" s="8" t="s">
        <v>35</v>
      </c>
      <c r="I89" s="8" t="s">
        <v>21</v>
      </c>
      <c r="J89" t="s">
        <v>37</v>
      </c>
      <c r="K89" t="s">
        <v>12</v>
      </c>
      <c r="L89" t="str" cm="1">
        <f t="array" ref="L89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89" s="12">
        <f>Table1[[#This Row],[Price]]*Table1[[#This Row],[Quantity]]</f>
        <v>2010</v>
      </c>
      <c r="N89" s="12" t="str" cm="1">
        <f t="array" ref="N89">_xlfn.IFS(Table1[[#This Row],[Revenue]]&lt;=3267,"Low Sales",Table1[[#This Row],[Revenue]]&lt;=6534,"Fair Sales",Table1[[#This Row],[Revenue]]&gt;6534,"High Sales")</f>
        <v>Low Sales</v>
      </c>
    </row>
    <row r="90" spans="1:14" x14ac:dyDescent="0.25">
      <c r="A90" s="9">
        <v>10542</v>
      </c>
      <c r="B90" s="4">
        <v>44890</v>
      </c>
      <c r="C90" s="4" t="str">
        <f>TEXT(Table1[[#This Row],[Date]],"mmmm")</f>
        <v>November</v>
      </c>
      <c r="D90" s="4" t="str">
        <f>TEXT(Table1[[#This Row],[Date]],"dddd")</f>
        <v>Friday</v>
      </c>
      <c r="E90" t="s">
        <v>8</v>
      </c>
      <c r="F90" s="11">
        <v>4</v>
      </c>
      <c r="G90">
        <v>630</v>
      </c>
      <c r="H90" s="8" t="s">
        <v>35</v>
      </c>
      <c r="I90" s="8" t="s">
        <v>21</v>
      </c>
      <c r="J90" t="s">
        <v>37</v>
      </c>
      <c r="K90" t="s">
        <v>12</v>
      </c>
      <c r="L90" t="str" cm="1">
        <f t="array" ref="L90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90" s="12">
        <f>Table1[[#This Row],[Price]]*Table1[[#This Row],[Quantity]]</f>
        <v>2520</v>
      </c>
      <c r="N90" s="12" t="str" cm="1">
        <f t="array" ref="N90">_xlfn.IFS(Table1[[#This Row],[Revenue]]&lt;=3267,"Low Sales",Table1[[#This Row],[Revenue]]&lt;=6534,"Fair Sales",Table1[[#This Row],[Revenue]]&gt;6534,"High Sales")</f>
        <v>Low Sales</v>
      </c>
    </row>
    <row r="91" spans="1:14" x14ac:dyDescent="0.25">
      <c r="A91" s="9">
        <v>10543</v>
      </c>
      <c r="B91" s="4">
        <v>44890</v>
      </c>
      <c r="C91" s="4" t="str">
        <f>TEXT(Table1[[#This Row],[Date]],"mmmm")</f>
        <v>November</v>
      </c>
      <c r="D91" s="4" t="str">
        <f>TEXT(Table1[[#This Row],[Date]],"dddd")</f>
        <v>Friday</v>
      </c>
      <c r="E91" t="s">
        <v>13</v>
      </c>
      <c r="F91" s="11">
        <v>3</v>
      </c>
      <c r="G91">
        <v>746</v>
      </c>
      <c r="H91" s="8" t="s">
        <v>35</v>
      </c>
      <c r="I91" s="8" t="s">
        <v>21</v>
      </c>
      <c r="J91" t="s">
        <v>37</v>
      </c>
      <c r="K91" t="s">
        <v>12</v>
      </c>
      <c r="L91" t="str" cm="1">
        <f t="array" ref="L91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91" s="12">
        <f>Table1[[#This Row],[Price]]*Table1[[#This Row],[Quantity]]</f>
        <v>2238</v>
      </c>
      <c r="N91" s="12" t="str" cm="1">
        <f t="array" ref="N91">_xlfn.IFS(Table1[[#This Row],[Revenue]]&lt;=3267,"Low Sales",Table1[[#This Row],[Revenue]]&lt;=6534,"Fair Sales",Table1[[#This Row],[Revenue]]&gt;6534,"High Sales")</f>
        <v>Low Sales</v>
      </c>
    </row>
    <row r="92" spans="1:14" x14ac:dyDescent="0.25">
      <c r="A92" s="9">
        <v>10544</v>
      </c>
      <c r="B92" s="4">
        <v>44890</v>
      </c>
      <c r="C92" s="4" t="str">
        <f>TEXT(Table1[[#This Row],[Date]],"mmmm")</f>
        <v>November</v>
      </c>
      <c r="D92" s="4" t="str">
        <f>TEXT(Table1[[#This Row],[Date]],"dddd")</f>
        <v>Friday</v>
      </c>
      <c r="E92" t="s">
        <v>16</v>
      </c>
      <c r="F92" s="11">
        <v>5</v>
      </c>
      <c r="G92">
        <v>200</v>
      </c>
      <c r="H92" s="8" t="s">
        <v>35</v>
      </c>
      <c r="I92" s="8" t="s">
        <v>21</v>
      </c>
      <c r="J92" t="s">
        <v>37</v>
      </c>
      <c r="K92" t="s">
        <v>12</v>
      </c>
      <c r="L92" t="str" cm="1">
        <f t="array" ref="L92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92" s="12">
        <f>Table1[[#This Row],[Price]]*Table1[[#This Row],[Quantity]]</f>
        <v>1000</v>
      </c>
      <c r="N92" s="12" t="str" cm="1">
        <f t="array" ref="N92">_xlfn.IFS(Table1[[#This Row],[Revenue]]&lt;=3267,"Low Sales",Table1[[#This Row],[Revenue]]&lt;=6534,"Fair Sales",Table1[[#This Row],[Revenue]]&gt;6534,"High Sales")</f>
        <v>Low Sales</v>
      </c>
    </row>
    <row r="93" spans="1:14" x14ac:dyDescent="0.25">
      <c r="A93" s="9">
        <v>10545</v>
      </c>
      <c r="B93" s="4">
        <v>44891</v>
      </c>
      <c r="C93" s="4" t="str">
        <f>TEXT(Table1[[#This Row],[Date]],"mmmm")</f>
        <v>November</v>
      </c>
      <c r="D93" s="4" t="str">
        <f>TEXT(Table1[[#This Row],[Date]],"dddd")</f>
        <v>Saturday</v>
      </c>
      <c r="E93" t="s">
        <v>20</v>
      </c>
      <c r="F93" s="11">
        <v>13</v>
      </c>
      <c r="G93">
        <v>446</v>
      </c>
      <c r="H93" s="8" t="s">
        <v>35</v>
      </c>
      <c r="I93" s="8" t="s">
        <v>21</v>
      </c>
      <c r="J93" t="s">
        <v>37</v>
      </c>
      <c r="K93" t="s">
        <v>12</v>
      </c>
      <c r="L93" t="str" cm="1">
        <f t="array" ref="L93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93" s="12">
        <f>Table1[[#This Row],[Price]]*Table1[[#This Row],[Quantity]]</f>
        <v>5798</v>
      </c>
      <c r="N93" s="12" t="str" cm="1">
        <f t="array" ref="N93">_xlfn.IFS(Table1[[#This Row],[Revenue]]&lt;=3267,"Low Sales",Table1[[#This Row],[Revenue]]&lt;=6534,"Fair Sales",Table1[[#This Row],[Revenue]]&gt;6534,"High Sales")</f>
        <v>Fair Sales</v>
      </c>
    </row>
    <row r="94" spans="1:14" x14ac:dyDescent="0.25">
      <c r="A94" s="9">
        <v>10546</v>
      </c>
      <c r="B94" s="4">
        <v>44891</v>
      </c>
      <c r="C94" s="4" t="str">
        <f>TEXT(Table1[[#This Row],[Date]],"mmmm")</f>
        <v>November</v>
      </c>
      <c r="D94" s="4" t="str">
        <f>TEXT(Table1[[#This Row],[Date]],"dddd")</f>
        <v>Saturday</v>
      </c>
      <c r="E94" t="s">
        <v>24</v>
      </c>
      <c r="F94" s="11">
        <v>10</v>
      </c>
      <c r="G94">
        <v>201</v>
      </c>
      <c r="H94" s="8" t="s">
        <v>35</v>
      </c>
      <c r="I94" s="8" t="s">
        <v>21</v>
      </c>
      <c r="J94" t="s">
        <v>37</v>
      </c>
      <c r="K94" t="s">
        <v>12</v>
      </c>
      <c r="L94" t="str" cm="1">
        <f t="array" ref="L94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94" s="12">
        <f>Table1[[#This Row],[Price]]*Table1[[#This Row],[Quantity]]</f>
        <v>2010</v>
      </c>
      <c r="N94" s="12" t="str" cm="1">
        <f t="array" ref="N94">_xlfn.IFS(Table1[[#This Row],[Revenue]]&lt;=3267,"Low Sales",Table1[[#This Row],[Revenue]]&lt;=6534,"Fair Sales",Table1[[#This Row],[Revenue]]&gt;6534,"High Sales")</f>
        <v>Low Sales</v>
      </c>
    </row>
    <row r="95" spans="1:14" x14ac:dyDescent="0.25">
      <c r="A95" s="9">
        <v>10547</v>
      </c>
      <c r="B95" s="4">
        <v>44891</v>
      </c>
      <c r="C95" s="4" t="str">
        <f>TEXT(Table1[[#This Row],[Date]],"mmmm")</f>
        <v>November</v>
      </c>
      <c r="D95" s="4" t="str">
        <f>TEXT(Table1[[#This Row],[Date]],"dddd")</f>
        <v>Saturday</v>
      </c>
      <c r="E95" t="s">
        <v>8</v>
      </c>
      <c r="F95" s="11">
        <v>4</v>
      </c>
      <c r="G95">
        <v>630</v>
      </c>
      <c r="H95" s="8" t="s">
        <v>35</v>
      </c>
      <c r="I95" s="8" t="s">
        <v>21</v>
      </c>
      <c r="J95" t="s">
        <v>37</v>
      </c>
      <c r="K95" t="s">
        <v>12</v>
      </c>
      <c r="L95" t="str" cm="1">
        <f t="array" ref="L95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95" s="12">
        <f>Table1[[#This Row],[Price]]*Table1[[#This Row],[Quantity]]</f>
        <v>2520</v>
      </c>
      <c r="N95" s="12" t="str" cm="1">
        <f t="array" ref="N95">_xlfn.IFS(Table1[[#This Row],[Revenue]]&lt;=3267,"Low Sales",Table1[[#This Row],[Revenue]]&lt;=6534,"Fair Sales",Table1[[#This Row],[Revenue]]&gt;6534,"High Sales")</f>
        <v>Low Sales</v>
      </c>
    </row>
    <row r="96" spans="1:14" x14ac:dyDescent="0.25">
      <c r="A96" s="9">
        <v>10548</v>
      </c>
      <c r="B96" s="4">
        <v>44891</v>
      </c>
      <c r="C96" s="4" t="str">
        <f>TEXT(Table1[[#This Row],[Date]],"mmmm")</f>
        <v>November</v>
      </c>
      <c r="D96" s="4" t="str">
        <f>TEXT(Table1[[#This Row],[Date]],"dddd")</f>
        <v>Saturday</v>
      </c>
      <c r="E96" t="s">
        <v>13</v>
      </c>
      <c r="F96" s="11">
        <v>3</v>
      </c>
      <c r="G96">
        <v>746</v>
      </c>
      <c r="H96" s="8" t="s">
        <v>35</v>
      </c>
      <c r="I96" s="8" t="s">
        <v>21</v>
      </c>
      <c r="J96" t="s">
        <v>37</v>
      </c>
      <c r="K96" t="s">
        <v>12</v>
      </c>
      <c r="L96" t="str" cm="1">
        <f t="array" ref="L96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96" s="12">
        <f>Table1[[#This Row],[Price]]*Table1[[#This Row],[Quantity]]</f>
        <v>2238</v>
      </c>
      <c r="N96" s="12" t="str" cm="1">
        <f t="array" ref="N96">_xlfn.IFS(Table1[[#This Row],[Revenue]]&lt;=3267,"Low Sales",Table1[[#This Row],[Revenue]]&lt;=6534,"Fair Sales",Table1[[#This Row],[Revenue]]&gt;6534,"High Sales")</f>
        <v>Low Sales</v>
      </c>
    </row>
    <row r="97" spans="1:14" x14ac:dyDescent="0.25">
      <c r="A97" s="9">
        <v>10549</v>
      </c>
      <c r="B97" s="4">
        <v>44891</v>
      </c>
      <c r="C97" s="4" t="str">
        <f>TEXT(Table1[[#This Row],[Date]],"mmmm")</f>
        <v>November</v>
      </c>
      <c r="D97" s="4" t="str">
        <f>TEXT(Table1[[#This Row],[Date]],"dddd")</f>
        <v>Saturday</v>
      </c>
      <c r="E97" t="s">
        <v>16</v>
      </c>
      <c r="F97" s="11">
        <v>5</v>
      </c>
      <c r="G97">
        <v>200</v>
      </c>
      <c r="H97" s="8" t="s">
        <v>35</v>
      </c>
      <c r="I97" s="8" t="s">
        <v>21</v>
      </c>
      <c r="J97" t="s">
        <v>37</v>
      </c>
      <c r="K97" t="s">
        <v>12</v>
      </c>
      <c r="L97" t="str" cm="1">
        <f t="array" ref="L97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97" s="12">
        <f>Table1[[#This Row],[Price]]*Table1[[#This Row],[Quantity]]</f>
        <v>1000</v>
      </c>
      <c r="N97" s="12" t="str" cm="1">
        <f t="array" ref="N97">_xlfn.IFS(Table1[[#This Row],[Revenue]]&lt;=3267,"Low Sales",Table1[[#This Row],[Revenue]]&lt;=6534,"Fair Sales",Table1[[#This Row],[Revenue]]&gt;6534,"High Sales")</f>
        <v>Low Sales</v>
      </c>
    </row>
    <row r="98" spans="1:14" x14ac:dyDescent="0.25">
      <c r="A98" s="9">
        <v>10550</v>
      </c>
      <c r="B98" s="4">
        <v>44892</v>
      </c>
      <c r="C98" s="4" t="str">
        <f>TEXT(Table1[[#This Row],[Date]],"mmmm")</f>
        <v>November</v>
      </c>
      <c r="D98" s="4" t="str">
        <f>TEXT(Table1[[#This Row],[Date]],"dddd")</f>
        <v>Sunday</v>
      </c>
      <c r="E98" t="s">
        <v>20</v>
      </c>
      <c r="F98" s="11">
        <v>13</v>
      </c>
      <c r="G98">
        <v>462</v>
      </c>
      <c r="H98" s="8" t="s">
        <v>35</v>
      </c>
      <c r="I98" s="8" t="s">
        <v>21</v>
      </c>
      <c r="J98" t="s">
        <v>37</v>
      </c>
      <c r="K98" t="s">
        <v>12</v>
      </c>
      <c r="L98" t="str" cm="1">
        <f t="array" ref="L98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98" s="12">
        <f>Table1[[#This Row],[Price]]*Table1[[#This Row],[Quantity]]</f>
        <v>6006</v>
      </c>
      <c r="N98" s="12" t="str" cm="1">
        <f t="array" ref="N98">_xlfn.IFS(Table1[[#This Row],[Revenue]]&lt;=3267,"Low Sales",Table1[[#This Row],[Revenue]]&lt;=6534,"Fair Sales",Table1[[#This Row],[Revenue]]&gt;6534,"High Sales")</f>
        <v>Fair Sales</v>
      </c>
    </row>
    <row r="99" spans="1:14" x14ac:dyDescent="0.25">
      <c r="A99" s="9">
        <v>10551</v>
      </c>
      <c r="B99" s="4">
        <v>44892</v>
      </c>
      <c r="C99" s="4" t="str">
        <f>TEXT(Table1[[#This Row],[Date]],"mmmm")</f>
        <v>November</v>
      </c>
      <c r="D99" s="4" t="str">
        <f>TEXT(Table1[[#This Row],[Date]],"dddd")</f>
        <v>Sunday</v>
      </c>
      <c r="E99" t="s">
        <v>24</v>
      </c>
      <c r="F99" s="11">
        <v>10</v>
      </c>
      <c r="G99">
        <v>201</v>
      </c>
      <c r="H99" s="8" t="s">
        <v>35</v>
      </c>
      <c r="I99" s="8" t="s">
        <v>21</v>
      </c>
      <c r="J99" t="s">
        <v>37</v>
      </c>
      <c r="K99" t="s">
        <v>12</v>
      </c>
      <c r="L99" t="str" cm="1">
        <f t="array" ref="L99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99" s="12">
        <f>Table1[[#This Row],[Price]]*Table1[[#This Row],[Quantity]]</f>
        <v>2010</v>
      </c>
      <c r="N99" s="12" t="str" cm="1">
        <f t="array" ref="N99">_xlfn.IFS(Table1[[#This Row],[Revenue]]&lt;=3267,"Low Sales",Table1[[#This Row],[Revenue]]&lt;=6534,"Fair Sales",Table1[[#This Row],[Revenue]]&gt;6534,"High Sales")</f>
        <v>Low Sales</v>
      </c>
    </row>
    <row r="100" spans="1:14" x14ac:dyDescent="0.25">
      <c r="A100" s="9">
        <v>10552</v>
      </c>
      <c r="B100" s="4">
        <v>44892</v>
      </c>
      <c r="C100" s="4" t="str">
        <f>TEXT(Table1[[#This Row],[Date]],"mmmm")</f>
        <v>November</v>
      </c>
      <c r="D100" s="4" t="str">
        <f>TEXT(Table1[[#This Row],[Date]],"dddd")</f>
        <v>Sunday</v>
      </c>
      <c r="E100" t="s">
        <v>8</v>
      </c>
      <c r="F100" s="11">
        <v>4</v>
      </c>
      <c r="G100">
        <v>630</v>
      </c>
      <c r="H100" s="8" t="s">
        <v>9</v>
      </c>
      <c r="I100" s="8" t="s">
        <v>21</v>
      </c>
      <c r="J100" t="s">
        <v>37</v>
      </c>
      <c r="K100" t="s">
        <v>12</v>
      </c>
      <c r="L100" t="str" cm="1">
        <f t="array" ref="L100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00" s="12">
        <f>Table1[[#This Row],[Price]]*Table1[[#This Row],[Quantity]]</f>
        <v>2520</v>
      </c>
      <c r="N100" s="12" t="str" cm="1">
        <f t="array" ref="N100">_xlfn.IFS(Table1[[#This Row],[Revenue]]&lt;=3267,"Low Sales",Table1[[#This Row],[Revenue]]&lt;=6534,"Fair Sales",Table1[[#This Row],[Revenue]]&gt;6534,"High Sales")</f>
        <v>Low Sales</v>
      </c>
    </row>
    <row r="101" spans="1:14" x14ac:dyDescent="0.25">
      <c r="A101" s="9">
        <v>10553</v>
      </c>
      <c r="B101" s="4">
        <v>44892</v>
      </c>
      <c r="C101" s="4" t="str">
        <f>TEXT(Table1[[#This Row],[Date]],"mmmm")</f>
        <v>November</v>
      </c>
      <c r="D101" s="4" t="str">
        <f>TEXT(Table1[[#This Row],[Date]],"dddd")</f>
        <v>Sunday</v>
      </c>
      <c r="E101" t="s">
        <v>13</v>
      </c>
      <c r="F101" s="11">
        <v>3</v>
      </c>
      <c r="G101">
        <v>746</v>
      </c>
      <c r="H101" s="8" t="s">
        <v>9</v>
      </c>
      <c r="I101" s="8" t="s">
        <v>21</v>
      </c>
      <c r="J101" t="s">
        <v>37</v>
      </c>
      <c r="K101" t="s">
        <v>12</v>
      </c>
      <c r="L101" t="str" cm="1">
        <f t="array" ref="L101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01" s="12">
        <f>Table1[[#This Row],[Price]]*Table1[[#This Row],[Quantity]]</f>
        <v>2238</v>
      </c>
      <c r="N101" s="12" t="str" cm="1">
        <f t="array" ref="N101">_xlfn.IFS(Table1[[#This Row],[Revenue]]&lt;=3267,"Low Sales",Table1[[#This Row],[Revenue]]&lt;=6534,"Fair Sales",Table1[[#This Row],[Revenue]]&gt;6534,"High Sales")</f>
        <v>Low Sales</v>
      </c>
    </row>
    <row r="102" spans="1:14" x14ac:dyDescent="0.25">
      <c r="A102" s="9">
        <v>10554</v>
      </c>
      <c r="B102" s="4">
        <v>44892</v>
      </c>
      <c r="C102" s="4" t="str">
        <f>TEXT(Table1[[#This Row],[Date]],"mmmm")</f>
        <v>November</v>
      </c>
      <c r="D102" s="4" t="str">
        <f>TEXT(Table1[[#This Row],[Date]],"dddd")</f>
        <v>Sunday</v>
      </c>
      <c r="E102" t="s">
        <v>16</v>
      </c>
      <c r="F102" s="11">
        <v>5</v>
      </c>
      <c r="G102">
        <v>200</v>
      </c>
      <c r="H102" s="8" t="s">
        <v>9</v>
      </c>
      <c r="I102" s="8" t="s">
        <v>21</v>
      </c>
      <c r="J102" t="s">
        <v>37</v>
      </c>
      <c r="K102" t="s">
        <v>12</v>
      </c>
      <c r="L102" t="str" cm="1">
        <f t="array" ref="L102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02" s="12">
        <f>Table1[[#This Row],[Price]]*Table1[[#This Row],[Quantity]]</f>
        <v>1000</v>
      </c>
      <c r="N102" s="12" t="str" cm="1">
        <f t="array" ref="N102">_xlfn.IFS(Table1[[#This Row],[Revenue]]&lt;=3267,"Low Sales",Table1[[#This Row],[Revenue]]&lt;=6534,"Fair Sales",Table1[[#This Row],[Revenue]]&gt;6534,"High Sales")</f>
        <v>Low Sales</v>
      </c>
    </row>
    <row r="103" spans="1:14" x14ac:dyDescent="0.25">
      <c r="A103" s="9">
        <v>10555</v>
      </c>
      <c r="B103" s="4">
        <v>44893</v>
      </c>
      <c r="C103" s="4" t="str">
        <f>TEXT(Table1[[#This Row],[Date]],"mmmm")</f>
        <v>November</v>
      </c>
      <c r="D103" s="4" t="str">
        <f>TEXT(Table1[[#This Row],[Date]],"dddd")</f>
        <v>Monday</v>
      </c>
      <c r="E103" t="s">
        <v>20</v>
      </c>
      <c r="F103" s="11">
        <v>13</v>
      </c>
      <c r="G103">
        <v>477</v>
      </c>
      <c r="H103" s="8" t="s">
        <v>9</v>
      </c>
      <c r="I103" s="8" t="s">
        <v>21</v>
      </c>
      <c r="J103" t="s">
        <v>37</v>
      </c>
      <c r="K103" t="s">
        <v>12</v>
      </c>
      <c r="L103" t="str" cm="1">
        <f t="array" ref="L103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03" s="12">
        <f>Table1[[#This Row],[Price]]*Table1[[#This Row],[Quantity]]</f>
        <v>6201</v>
      </c>
      <c r="N103" s="12" t="str" cm="1">
        <f t="array" ref="N103">_xlfn.IFS(Table1[[#This Row],[Revenue]]&lt;=3267,"Low Sales",Table1[[#This Row],[Revenue]]&lt;=6534,"Fair Sales",Table1[[#This Row],[Revenue]]&gt;6534,"High Sales")</f>
        <v>Fair Sales</v>
      </c>
    </row>
    <row r="104" spans="1:14" x14ac:dyDescent="0.25">
      <c r="A104" s="9">
        <v>10556</v>
      </c>
      <c r="B104" s="4">
        <v>44893</v>
      </c>
      <c r="C104" s="4" t="str">
        <f>TEXT(Table1[[#This Row],[Date]],"mmmm")</f>
        <v>November</v>
      </c>
      <c r="D104" s="4" t="str">
        <f>TEXT(Table1[[#This Row],[Date]],"dddd")</f>
        <v>Monday</v>
      </c>
      <c r="E104" t="s">
        <v>24</v>
      </c>
      <c r="F104" s="11">
        <v>10</v>
      </c>
      <c r="G104">
        <v>201</v>
      </c>
      <c r="H104" s="8" t="s">
        <v>9</v>
      </c>
      <c r="I104" s="8" t="s">
        <v>21</v>
      </c>
      <c r="J104" t="s">
        <v>37</v>
      </c>
      <c r="K104" t="s">
        <v>12</v>
      </c>
      <c r="L104" t="str" cm="1">
        <f t="array" ref="L104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04" s="12">
        <f>Table1[[#This Row],[Price]]*Table1[[#This Row],[Quantity]]</f>
        <v>2010</v>
      </c>
      <c r="N104" s="12" t="str" cm="1">
        <f t="array" ref="N104">_xlfn.IFS(Table1[[#This Row],[Revenue]]&lt;=3267,"Low Sales",Table1[[#This Row],[Revenue]]&lt;=6534,"Fair Sales",Table1[[#This Row],[Revenue]]&gt;6534,"High Sales")</f>
        <v>Low Sales</v>
      </c>
    </row>
    <row r="105" spans="1:14" x14ac:dyDescent="0.25">
      <c r="A105" s="9">
        <v>10557</v>
      </c>
      <c r="B105" s="4">
        <v>44893</v>
      </c>
      <c r="C105" s="4" t="str">
        <f>TEXT(Table1[[#This Row],[Date]],"mmmm")</f>
        <v>November</v>
      </c>
      <c r="D105" s="4" t="str">
        <f>TEXT(Table1[[#This Row],[Date]],"dddd")</f>
        <v>Monday</v>
      </c>
      <c r="E105" t="s">
        <v>8</v>
      </c>
      <c r="F105" s="11">
        <v>4</v>
      </c>
      <c r="G105">
        <v>630</v>
      </c>
      <c r="H105" s="8" t="s">
        <v>9</v>
      </c>
      <c r="I105" s="8" t="s">
        <v>21</v>
      </c>
      <c r="J105" t="s">
        <v>37</v>
      </c>
      <c r="K105" t="s">
        <v>12</v>
      </c>
      <c r="L105" t="str" cm="1">
        <f t="array" ref="L105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05" s="12">
        <f>Table1[[#This Row],[Price]]*Table1[[#This Row],[Quantity]]</f>
        <v>2520</v>
      </c>
      <c r="N105" s="12" t="str" cm="1">
        <f t="array" ref="N105">_xlfn.IFS(Table1[[#This Row],[Revenue]]&lt;=3267,"Low Sales",Table1[[#This Row],[Revenue]]&lt;=6534,"Fair Sales",Table1[[#This Row],[Revenue]]&gt;6534,"High Sales")</f>
        <v>Low Sales</v>
      </c>
    </row>
    <row r="106" spans="1:14" x14ac:dyDescent="0.25">
      <c r="A106" s="9">
        <v>10558</v>
      </c>
      <c r="B106" s="4">
        <v>44893</v>
      </c>
      <c r="C106" s="4" t="str">
        <f>TEXT(Table1[[#This Row],[Date]],"mmmm")</f>
        <v>November</v>
      </c>
      <c r="D106" s="4" t="str">
        <f>TEXT(Table1[[#This Row],[Date]],"dddd")</f>
        <v>Monday</v>
      </c>
      <c r="E106" t="s">
        <v>13</v>
      </c>
      <c r="F106" s="11">
        <v>3</v>
      </c>
      <c r="G106">
        <v>678</v>
      </c>
      <c r="H106" s="8" t="s">
        <v>9</v>
      </c>
      <c r="I106" s="8" t="s">
        <v>21</v>
      </c>
      <c r="J106" t="s">
        <v>37</v>
      </c>
      <c r="K106" t="s">
        <v>12</v>
      </c>
      <c r="L106" t="str" cm="1">
        <f t="array" ref="L106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06" s="12">
        <f>Table1[[#This Row],[Price]]*Table1[[#This Row],[Quantity]]</f>
        <v>2034</v>
      </c>
      <c r="N106" s="12" t="str" cm="1">
        <f t="array" ref="N106">_xlfn.IFS(Table1[[#This Row],[Revenue]]&lt;=3267,"Low Sales",Table1[[#This Row],[Revenue]]&lt;=6534,"Fair Sales",Table1[[#This Row],[Revenue]]&gt;6534,"High Sales")</f>
        <v>Low Sales</v>
      </c>
    </row>
    <row r="107" spans="1:14" x14ac:dyDescent="0.25">
      <c r="A107" s="9">
        <v>10559</v>
      </c>
      <c r="B107" s="4">
        <v>44893</v>
      </c>
      <c r="C107" s="4" t="str">
        <f>TEXT(Table1[[#This Row],[Date]],"mmmm")</f>
        <v>November</v>
      </c>
      <c r="D107" s="4" t="str">
        <f>TEXT(Table1[[#This Row],[Date]],"dddd")</f>
        <v>Monday</v>
      </c>
      <c r="E107" t="s">
        <v>16</v>
      </c>
      <c r="F107" s="11">
        <v>5</v>
      </c>
      <c r="G107">
        <v>200</v>
      </c>
      <c r="H107" s="8" t="s">
        <v>9</v>
      </c>
      <c r="I107" s="8" t="s">
        <v>21</v>
      </c>
      <c r="J107" t="s">
        <v>37</v>
      </c>
      <c r="K107" t="s">
        <v>12</v>
      </c>
      <c r="L107" t="str" cm="1">
        <f t="array" ref="L107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07" s="12">
        <f>Table1[[#This Row],[Price]]*Table1[[#This Row],[Quantity]]</f>
        <v>1000</v>
      </c>
      <c r="N107" s="12" t="str" cm="1">
        <f t="array" ref="N107">_xlfn.IFS(Table1[[#This Row],[Revenue]]&lt;=3267,"Low Sales",Table1[[#This Row],[Revenue]]&lt;=6534,"Fair Sales",Table1[[#This Row],[Revenue]]&gt;6534,"High Sales")</f>
        <v>Low Sales</v>
      </c>
    </row>
    <row r="108" spans="1:14" x14ac:dyDescent="0.25">
      <c r="A108" s="9">
        <v>10560</v>
      </c>
      <c r="B108" s="4">
        <v>44894</v>
      </c>
      <c r="C108" s="4" t="str">
        <f>TEXT(Table1[[#This Row],[Date]],"mmmm")</f>
        <v>November</v>
      </c>
      <c r="D108" s="4" t="str">
        <f>TEXT(Table1[[#This Row],[Date]],"dddd")</f>
        <v>Tuesday</v>
      </c>
      <c r="E108" t="s">
        <v>20</v>
      </c>
      <c r="F108" s="11">
        <v>13</v>
      </c>
      <c r="G108">
        <v>477</v>
      </c>
      <c r="H108" s="8" t="s">
        <v>9</v>
      </c>
      <c r="I108" s="8" t="s">
        <v>21</v>
      </c>
      <c r="J108" t="s">
        <v>37</v>
      </c>
      <c r="K108" t="s">
        <v>12</v>
      </c>
      <c r="L108" t="str" cm="1">
        <f t="array" ref="L108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08" s="12">
        <f>Table1[[#This Row],[Price]]*Table1[[#This Row],[Quantity]]</f>
        <v>6201</v>
      </c>
      <c r="N108" s="12" t="str" cm="1">
        <f t="array" ref="N108">_xlfn.IFS(Table1[[#This Row],[Revenue]]&lt;=3267,"Low Sales",Table1[[#This Row],[Revenue]]&lt;=6534,"Fair Sales",Table1[[#This Row],[Revenue]]&gt;6534,"High Sales")</f>
        <v>Fair Sales</v>
      </c>
    </row>
    <row r="109" spans="1:14" x14ac:dyDescent="0.25">
      <c r="A109" s="9">
        <v>10561</v>
      </c>
      <c r="B109" s="4">
        <v>44894</v>
      </c>
      <c r="C109" s="4" t="str">
        <f>TEXT(Table1[[#This Row],[Date]],"mmmm")</f>
        <v>November</v>
      </c>
      <c r="D109" s="4" t="str">
        <f>TEXT(Table1[[#This Row],[Date]],"dddd")</f>
        <v>Tuesday</v>
      </c>
      <c r="E109" t="s">
        <v>24</v>
      </c>
      <c r="F109" s="11">
        <v>10</v>
      </c>
      <c r="G109">
        <v>201</v>
      </c>
      <c r="H109" s="8" t="s">
        <v>9</v>
      </c>
      <c r="I109" s="8" t="s">
        <v>21</v>
      </c>
      <c r="J109" t="s">
        <v>37</v>
      </c>
      <c r="K109" t="s">
        <v>12</v>
      </c>
      <c r="L109" t="str" cm="1">
        <f t="array" ref="L109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09" s="12">
        <f>Table1[[#This Row],[Price]]*Table1[[#This Row],[Quantity]]</f>
        <v>2010</v>
      </c>
      <c r="N109" s="12" t="str" cm="1">
        <f t="array" ref="N109">_xlfn.IFS(Table1[[#This Row],[Revenue]]&lt;=3267,"Low Sales",Table1[[#This Row],[Revenue]]&lt;=6534,"Fair Sales",Table1[[#This Row],[Revenue]]&gt;6534,"High Sales")</f>
        <v>Low Sales</v>
      </c>
    </row>
    <row r="110" spans="1:14" x14ac:dyDescent="0.25">
      <c r="A110" s="9">
        <v>10562</v>
      </c>
      <c r="B110" s="4">
        <v>44894</v>
      </c>
      <c r="C110" s="4" t="str">
        <f>TEXT(Table1[[#This Row],[Date]],"mmmm")</f>
        <v>November</v>
      </c>
      <c r="D110" s="4" t="str">
        <f>TEXT(Table1[[#This Row],[Date]],"dddd")</f>
        <v>Tuesday</v>
      </c>
      <c r="E110" t="s">
        <v>8</v>
      </c>
      <c r="F110" s="11">
        <v>4</v>
      </c>
      <c r="G110">
        <v>630</v>
      </c>
      <c r="H110" s="8" t="s">
        <v>9</v>
      </c>
      <c r="I110" s="8" t="s">
        <v>21</v>
      </c>
      <c r="J110" t="s">
        <v>37</v>
      </c>
      <c r="K110" t="s">
        <v>12</v>
      </c>
      <c r="L110" t="str" cm="1">
        <f t="array" ref="L110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10" s="12">
        <f>Table1[[#This Row],[Price]]*Table1[[#This Row],[Quantity]]</f>
        <v>2520</v>
      </c>
      <c r="N110" s="12" t="str" cm="1">
        <f t="array" ref="N110">_xlfn.IFS(Table1[[#This Row],[Revenue]]&lt;=3267,"Low Sales",Table1[[#This Row],[Revenue]]&lt;=6534,"Fair Sales",Table1[[#This Row],[Revenue]]&gt;6534,"High Sales")</f>
        <v>Low Sales</v>
      </c>
    </row>
    <row r="111" spans="1:14" x14ac:dyDescent="0.25">
      <c r="A111" s="9">
        <v>10563</v>
      </c>
      <c r="B111" s="4">
        <v>44894</v>
      </c>
      <c r="C111" s="4" t="str">
        <f>TEXT(Table1[[#This Row],[Date]],"mmmm")</f>
        <v>November</v>
      </c>
      <c r="D111" s="4" t="str">
        <f>TEXT(Table1[[#This Row],[Date]],"dddd")</f>
        <v>Tuesday</v>
      </c>
      <c r="E111" t="s">
        <v>13</v>
      </c>
      <c r="F111" s="11">
        <v>3</v>
      </c>
      <c r="G111">
        <v>678</v>
      </c>
      <c r="H111" s="8" t="s">
        <v>9</v>
      </c>
      <c r="I111" s="8" t="s">
        <v>21</v>
      </c>
      <c r="J111" t="s">
        <v>37</v>
      </c>
      <c r="K111" t="s">
        <v>12</v>
      </c>
      <c r="L111" t="str" cm="1">
        <f t="array" ref="L111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11" s="12">
        <f>Table1[[#This Row],[Price]]*Table1[[#This Row],[Quantity]]</f>
        <v>2034</v>
      </c>
      <c r="N111" s="12" t="str" cm="1">
        <f t="array" ref="N111">_xlfn.IFS(Table1[[#This Row],[Revenue]]&lt;=3267,"Low Sales",Table1[[#This Row],[Revenue]]&lt;=6534,"Fair Sales",Table1[[#This Row],[Revenue]]&gt;6534,"High Sales")</f>
        <v>Low Sales</v>
      </c>
    </row>
    <row r="112" spans="1:14" x14ac:dyDescent="0.25">
      <c r="A112" s="9">
        <v>10564</v>
      </c>
      <c r="B112" s="4">
        <v>44894</v>
      </c>
      <c r="C112" s="4" t="str">
        <f>TEXT(Table1[[#This Row],[Date]],"mmmm")</f>
        <v>November</v>
      </c>
      <c r="D112" s="4" t="str">
        <f>TEXT(Table1[[#This Row],[Date]],"dddd")</f>
        <v>Tuesday</v>
      </c>
      <c r="E112" t="s">
        <v>16</v>
      </c>
      <c r="F112" s="11">
        <v>5</v>
      </c>
      <c r="G112">
        <v>200</v>
      </c>
      <c r="H112" s="8" t="s">
        <v>9</v>
      </c>
      <c r="I112" s="8" t="s">
        <v>21</v>
      </c>
      <c r="J112" t="s">
        <v>37</v>
      </c>
      <c r="K112" t="s">
        <v>12</v>
      </c>
      <c r="L112" t="str" cm="1">
        <f t="array" ref="L112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12" s="12">
        <f>Table1[[#This Row],[Price]]*Table1[[#This Row],[Quantity]]</f>
        <v>1000</v>
      </c>
      <c r="N112" s="12" t="str" cm="1">
        <f t="array" ref="N112">_xlfn.IFS(Table1[[#This Row],[Revenue]]&lt;=3267,"Low Sales",Table1[[#This Row],[Revenue]]&lt;=6534,"Fair Sales",Table1[[#This Row],[Revenue]]&gt;6534,"High Sales")</f>
        <v>Low Sales</v>
      </c>
    </row>
    <row r="113" spans="1:14" x14ac:dyDescent="0.25">
      <c r="A113" s="9">
        <v>10565</v>
      </c>
      <c r="B113" s="4">
        <v>44895</v>
      </c>
      <c r="C113" s="4" t="str">
        <f>TEXT(Table1[[#This Row],[Date]],"mmmm")</f>
        <v>November</v>
      </c>
      <c r="D113" s="4" t="str">
        <f>TEXT(Table1[[#This Row],[Date]],"dddd")</f>
        <v>Wednesday</v>
      </c>
      <c r="E113" t="s">
        <v>20</v>
      </c>
      <c r="F113" s="11">
        <v>13</v>
      </c>
      <c r="G113">
        <v>493</v>
      </c>
      <c r="H113" s="8" t="s">
        <v>9</v>
      </c>
      <c r="I113" s="8" t="s">
        <v>21</v>
      </c>
      <c r="J113" t="s">
        <v>37</v>
      </c>
      <c r="K113" t="s">
        <v>12</v>
      </c>
      <c r="L113" t="str" cm="1">
        <f t="array" ref="L113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13" s="12">
        <f>Table1[[#This Row],[Price]]*Table1[[#This Row],[Quantity]]</f>
        <v>6409</v>
      </c>
      <c r="N113" s="12" t="str" cm="1">
        <f t="array" ref="N113">_xlfn.IFS(Table1[[#This Row],[Revenue]]&lt;=3267,"Low Sales",Table1[[#This Row],[Revenue]]&lt;=6534,"Fair Sales",Table1[[#This Row],[Revenue]]&gt;6534,"High Sales")</f>
        <v>Fair Sales</v>
      </c>
    </row>
    <row r="114" spans="1:14" x14ac:dyDescent="0.25">
      <c r="A114" s="9">
        <v>10566</v>
      </c>
      <c r="B114" s="4">
        <v>44895</v>
      </c>
      <c r="C114" s="4" t="str">
        <f>TEXT(Table1[[#This Row],[Date]],"mmmm")</f>
        <v>November</v>
      </c>
      <c r="D114" s="4" t="str">
        <f>TEXT(Table1[[#This Row],[Date]],"dddd")</f>
        <v>Wednesday</v>
      </c>
      <c r="E114" t="s">
        <v>24</v>
      </c>
      <c r="F114" s="11">
        <v>10</v>
      </c>
      <c r="G114">
        <v>201</v>
      </c>
      <c r="H114" s="8" t="s">
        <v>9</v>
      </c>
      <c r="I114" s="8" t="s">
        <v>21</v>
      </c>
      <c r="J114" t="s">
        <v>37</v>
      </c>
      <c r="K114" t="s">
        <v>12</v>
      </c>
      <c r="L114" t="str" cm="1">
        <f t="array" ref="L114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14" s="12">
        <f>Table1[[#This Row],[Price]]*Table1[[#This Row],[Quantity]]</f>
        <v>2010</v>
      </c>
      <c r="N114" s="12" t="str" cm="1">
        <f t="array" ref="N114">_xlfn.IFS(Table1[[#This Row],[Revenue]]&lt;=3267,"Low Sales",Table1[[#This Row],[Revenue]]&lt;=6534,"Fair Sales",Table1[[#This Row],[Revenue]]&gt;6534,"High Sales")</f>
        <v>Low Sales</v>
      </c>
    </row>
    <row r="115" spans="1:14" x14ac:dyDescent="0.25">
      <c r="A115" s="9">
        <v>10567</v>
      </c>
      <c r="B115" s="4">
        <v>44895</v>
      </c>
      <c r="C115" s="4" t="str">
        <f>TEXT(Table1[[#This Row],[Date]],"mmmm")</f>
        <v>November</v>
      </c>
      <c r="D115" s="4" t="str">
        <f>TEXT(Table1[[#This Row],[Date]],"dddd")</f>
        <v>Wednesday</v>
      </c>
      <c r="E115" t="s">
        <v>8</v>
      </c>
      <c r="F115" s="11">
        <v>4</v>
      </c>
      <c r="G115">
        <v>630</v>
      </c>
      <c r="H115" s="8" t="s">
        <v>9</v>
      </c>
      <c r="I115" s="8" t="s">
        <v>21</v>
      </c>
      <c r="J115" t="s">
        <v>37</v>
      </c>
      <c r="K115" t="s">
        <v>12</v>
      </c>
      <c r="L115" t="str" cm="1">
        <f t="array" ref="L115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15" s="12">
        <f>Table1[[#This Row],[Price]]*Table1[[#This Row],[Quantity]]</f>
        <v>2520</v>
      </c>
      <c r="N115" s="12" t="str" cm="1">
        <f t="array" ref="N115">_xlfn.IFS(Table1[[#This Row],[Revenue]]&lt;=3267,"Low Sales",Table1[[#This Row],[Revenue]]&lt;=6534,"Fair Sales",Table1[[#This Row],[Revenue]]&gt;6534,"High Sales")</f>
        <v>Low Sales</v>
      </c>
    </row>
    <row r="116" spans="1:14" x14ac:dyDescent="0.25">
      <c r="A116" s="9">
        <v>10568</v>
      </c>
      <c r="B116" s="4">
        <v>44895</v>
      </c>
      <c r="C116" s="4" t="str">
        <f>TEXT(Table1[[#This Row],[Date]],"mmmm")</f>
        <v>November</v>
      </c>
      <c r="D116" s="4" t="str">
        <f>TEXT(Table1[[#This Row],[Date]],"dddd")</f>
        <v>Wednesday</v>
      </c>
      <c r="E116" t="s">
        <v>13</v>
      </c>
      <c r="F116" s="11">
        <v>3</v>
      </c>
      <c r="G116">
        <v>678</v>
      </c>
      <c r="H116" s="8" t="s">
        <v>9</v>
      </c>
      <c r="I116" s="8" t="s">
        <v>21</v>
      </c>
      <c r="J116" t="s">
        <v>37</v>
      </c>
      <c r="K116" t="s">
        <v>12</v>
      </c>
      <c r="L116" t="str" cm="1">
        <f t="array" ref="L116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16" s="12">
        <f>Table1[[#This Row],[Price]]*Table1[[#This Row],[Quantity]]</f>
        <v>2034</v>
      </c>
      <c r="N116" s="12" t="str" cm="1">
        <f t="array" ref="N116">_xlfn.IFS(Table1[[#This Row],[Revenue]]&lt;=3267,"Low Sales",Table1[[#This Row],[Revenue]]&lt;=6534,"Fair Sales",Table1[[#This Row],[Revenue]]&gt;6534,"High Sales")</f>
        <v>Low Sales</v>
      </c>
    </row>
    <row r="117" spans="1:14" x14ac:dyDescent="0.25">
      <c r="A117" s="9">
        <v>10569</v>
      </c>
      <c r="B117" s="4">
        <v>44895</v>
      </c>
      <c r="C117" s="4" t="str">
        <f>TEXT(Table1[[#This Row],[Date]],"mmmm")</f>
        <v>November</v>
      </c>
      <c r="D117" s="4" t="str">
        <f>TEXT(Table1[[#This Row],[Date]],"dddd")</f>
        <v>Wednesday</v>
      </c>
      <c r="E117" t="s">
        <v>16</v>
      </c>
      <c r="F117" s="11">
        <v>5</v>
      </c>
      <c r="G117">
        <v>200</v>
      </c>
      <c r="H117" s="8" t="s">
        <v>9</v>
      </c>
      <c r="I117" s="8" t="s">
        <v>21</v>
      </c>
      <c r="J117" t="s">
        <v>37</v>
      </c>
      <c r="K117" t="s">
        <v>12</v>
      </c>
      <c r="L117" t="str" cm="1">
        <f t="array" ref="L117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17" s="12">
        <f>Table1[[#This Row],[Price]]*Table1[[#This Row],[Quantity]]</f>
        <v>1000</v>
      </c>
      <c r="N117" s="12" t="str" cm="1">
        <f t="array" ref="N117">_xlfn.IFS(Table1[[#This Row],[Revenue]]&lt;=3267,"Low Sales",Table1[[#This Row],[Revenue]]&lt;=6534,"Fair Sales",Table1[[#This Row],[Revenue]]&gt;6534,"High Sales")</f>
        <v>Low Sales</v>
      </c>
    </row>
    <row r="118" spans="1:14" x14ac:dyDescent="0.25">
      <c r="A118" s="9">
        <v>10570</v>
      </c>
      <c r="B118" s="4">
        <v>44896</v>
      </c>
      <c r="C118" s="4" t="str">
        <f>TEXT(Table1[[#This Row],[Date]],"mmmm")</f>
        <v>December</v>
      </c>
      <c r="D118" s="4" t="str">
        <f>TEXT(Table1[[#This Row],[Date]],"dddd")</f>
        <v>Thursday</v>
      </c>
      <c r="E118" t="s">
        <v>20</v>
      </c>
      <c r="F118" s="11">
        <v>13</v>
      </c>
      <c r="G118">
        <v>493</v>
      </c>
      <c r="H118" s="8" t="s">
        <v>9</v>
      </c>
      <c r="I118" s="8" t="s">
        <v>21</v>
      </c>
      <c r="J118" t="s">
        <v>37</v>
      </c>
      <c r="K118" t="s">
        <v>12</v>
      </c>
      <c r="L118" t="str" cm="1">
        <f t="array" ref="L118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18" s="12">
        <f>Table1[[#This Row],[Price]]*Table1[[#This Row],[Quantity]]</f>
        <v>6409</v>
      </c>
      <c r="N118" s="12" t="str" cm="1">
        <f t="array" ref="N118">_xlfn.IFS(Table1[[#This Row],[Revenue]]&lt;=3267,"Low Sales",Table1[[#This Row],[Revenue]]&lt;=6534,"Fair Sales",Table1[[#This Row],[Revenue]]&gt;6534,"High Sales")</f>
        <v>Fair Sales</v>
      </c>
    </row>
    <row r="119" spans="1:14" x14ac:dyDescent="0.25">
      <c r="A119" s="9">
        <v>10571</v>
      </c>
      <c r="B119" s="4">
        <v>44896</v>
      </c>
      <c r="C119" s="4" t="str">
        <f>TEXT(Table1[[#This Row],[Date]],"mmmm")</f>
        <v>December</v>
      </c>
      <c r="D119" s="4" t="str">
        <f>TEXT(Table1[[#This Row],[Date]],"dddd")</f>
        <v>Thursday</v>
      </c>
      <c r="E119" t="s">
        <v>24</v>
      </c>
      <c r="F119" s="11">
        <v>10</v>
      </c>
      <c r="G119">
        <v>201</v>
      </c>
      <c r="H119" s="8" t="s">
        <v>9</v>
      </c>
      <c r="I119" s="8" t="s">
        <v>21</v>
      </c>
      <c r="J119" t="s">
        <v>37</v>
      </c>
      <c r="K119" t="s">
        <v>12</v>
      </c>
      <c r="L119" t="str" cm="1">
        <f t="array" ref="L119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19" s="12">
        <f>Table1[[#This Row],[Price]]*Table1[[#This Row],[Quantity]]</f>
        <v>2010</v>
      </c>
      <c r="N119" s="12" t="str" cm="1">
        <f t="array" ref="N119">_xlfn.IFS(Table1[[#This Row],[Revenue]]&lt;=3267,"Low Sales",Table1[[#This Row],[Revenue]]&lt;=6534,"Fair Sales",Table1[[#This Row],[Revenue]]&gt;6534,"High Sales")</f>
        <v>Low Sales</v>
      </c>
    </row>
    <row r="120" spans="1:14" x14ac:dyDescent="0.25">
      <c r="A120" s="9">
        <v>10572</v>
      </c>
      <c r="B120" s="4">
        <v>44896</v>
      </c>
      <c r="C120" s="4" t="str">
        <f>TEXT(Table1[[#This Row],[Date]],"mmmm")</f>
        <v>December</v>
      </c>
      <c r="D120" s="4" t="str">
        <f>TEXT(Table1[[#This Row],[Date]],"dddd")</f>
        <v>Thursday</v>
      </c>
      <c r="E120" t="s">
        <v>8</v>
      </c>
      <c r="F120" s="11">
        <v>4</v>
      </c>
      <c r="G120">
        <v>573</v>
      </c>
      <c r="H120" s="8" t="s">
        <v>9</v>
      </c>
      <c r="I120" s="8" t="s">
        <v>21</v>
      </c>
      <c r="J120" t="s">
        <v>27</v>
      </c>
      <c r="K120" t="s">
        <v>26</v>
      </c>
      <c r="L120" t="str" cm="1">
        <f t="array" ref="L120">_xlfn.IFS(Table1[[#This Row],[City]]="Berlin","Germany",Table1[[#This Row],[City]]="Lisbon","Portugal",Table1[[#This Row],[City]]="London","United Kingdom",Table1[[#This Row],[City]]="Madrid","Spain",Table1[[#This Row],[City]]="Paris","France")</f>
        <v>France</v>
      </c>
      <c r="M120" s="12">
        <f>Table1[[#This Row],[Price]]*Table1[[#This Row],[Quantity]]</f>
        <v>2292</v>
      </c>
      <c r="N120" s="12" t="str" cm="1">
        <f t="array" ref="N120">_xlfn.IFS(Table1[[#This Row],[Revenue]]&lt;=3267,"Low Sales",Table1[[#This Row],[Revenue]]&lt;=6534,"Fair Sales",Table1[[#This Row],[Revenue]]&gt;6534,"High Sales")</f>
        <v>Low Sales</v>
      </c>
    </row>
    <row r="121" spans="1:14" x14ac:dyDescent="0.25">
      <c r="A121" s="9">
        <v>10573</v>
      </c>
      <c r="B121" s="4">
        <v>44896</v>
      </c>
      <c r="C121" s="4" t="str">
        <f>TEXT(Table1[[#This Row],[Date]],"mmmm")</f>
        <v>December</v>
      </c>
      <c r="D121" s="4" t="str">
        <f>TEXT(Table1[[#This Row],[Date]],"dddd")</f>
        <v>Thursday</v>
      </c>
      <c r="E121" t="s">
        <v>13</v>
      </c>
      <c r="F121" s="11">
        <v>3</v>
      </c>
      <c r="G121">
        <v>678</v>
      </c>
      <c r="H121" s="8" t="s">
        <v>9</v>
      </c>
      <c r="I121" s="8" t="s">
        <v>21</v>
      </c>
      <c r="J121" t="s">
        <v>27</v>
      </c>
      <c r="K121" t="s">
        <v>26</v>
      </c>
      <c r="L121" t="str" cm="1">
        <f t="array" ref="L121">_xlfn.IFS(Table1[[#This Row],[City]]="Berlin","Germany",Table1[[#This Row],[City]]="Lisbon","Portugal",Table1[[#This Row],[City]]="London","United Kingdom",Table1[[#This Row],[City]]="Madrid","Spain",Table1[[#This Row],[City]]="Paris","France")</f>
        <v>France</v>
      </c>
      <c r="M121" s="12">
        <f>Table1[[#This Row],[Price]]*Table1[[#This Row],[Quantity]]</f>
        <v>2034</v>
      </c>
      <c r="N121" s="12" t="str" cm="1">
        <f t="array" ref="N121">_xlfn.IFS(Table1[[#This Row],[Revenue]]&lt;=3267,"Low Sales",Table1[[#This Row],[Revenue]]&lt;=6534,"Fair Sales",Table1[[#This Row],[Revenue]]&gt;6534,"High Sales")</f>
        <v>Low Sales</v>
      </c>
    </row>
    <row r="122" spans="1:14" x14ac:dyDescent="0.25">
      <c r="A122" s="9">
        <v>10574</v>
      </c>
      <c r="B122" s="4">
        <v>44896</v>
      </c>
      <c r="C122" s="4" t="str">
        <f>TEXT(Table1[[#This Row],[Date]],"mmmm")</f>
        <v>December</v>
      </c>
      <c r="D122" s="4" t="str">
        <f>TEXT(Table1[[#This Row],[Date]],"dddd")</f>
        <v>Thursday</v>
      </c>
      <c r="E122" t="s">
        <v>16</v>
      </c>
      <c r="F122" s="11">
        <v>5</v>
      </c>
      <c r="G122">
        <v>200</v>
      </c>
      <c r="H122" s="8" t="s">
        <v>9</v>
      </c>
      <c r="I122" s="8" t="s">
        <v>21</v>
      </c>
      <c r="J122" t="s">
        <v>27</v>
      </c>
      <c r="K122" t="s">
        <v>26</v>
      </c>
      <c r="L122" t="str" cm="1">
        <f t="array" ref="L122">_xlfn.IFS(Table1[[#This Row],[City]]="Berlin","Germany",Table1[[#This Row],[City]]="Lisbon","Portugal",Table1[[#This Row],[City]]="London","United Kingdom",Table1[[#This Row],[City]]="Madrid","Spain",Table1[[#This Row],[City]]="Paris","France")</f>
        <v>France</v>
      </c>
      <c r="M122" s="12">
        <f>Table1[[#This Row],[Price]]*Table1[[#This Row],[Quantity]]</f>
        <v>1000</v>
      </c>
      <c r="N122" s="12" t="str" cm="1">
        <f t="array" ref="N122">_xlfn.IFS(Table1[[#This Row],[Revenue]]&lt;=3267,"Low Sales",Table1[[#This Row],[Revenue]]&lt;=6534,"Fair Sales",Table1[[#This Row],[Revenue]]&gt;6534,"High Sales")</f>
        <v>Low Sales</v>
      </c>
    </row>
    <row r="123" spans="1:14" x14ac:dyDescent="0.25">
      <c r="A123" s="9">
        <v>10575</v>
      </c>
      <c r="B123" s="4">
        <v>44897</v>
      </c>
      <c r="C123" s="4" t="str">
        <f>TEXT(Table1[[#This Row],[Date]],"mmmm")</f>
        <v>December</v>
      </c>
      <c r="D123" s="4" t="str">
        <f>TEXT(Table1[[#This Row],[Date]],"dddd")</f>
        <v>Friday</v>
      </c>
      <c r="E123" t="s">
        <v>20</v>
      </c>
      <c r="F123" s="11">
        <v>13</v>
      </c>
      <c r="G123">
        <v>523</v>
      </c>
      <c r="H123" s="8" t="s">
        <v>9</v>
      </c>
      <c r="I123" s="8" t="s">
        <v>21</v>
      </c>
      <c r="J123" t="s">
        <v>27</v>
      </c>
      <c r="K123" t="s">
        <v>26</v>
      </c>
      <c r="L123" t="str" cm="1">
        <f t="array" ref="L123">_xlfn.IFS(Table1[[#This Row],[City]]="Berlin","Germany",Table1[[#This Row],[City]]="Lisbon","Portugal",Table1[[#This Row],[City]]="London","United Kingdom",Table1[[#This Row],[City]]="Madrid","Spain",Table1[[#This Row],[City]]="Paris","France")</f>
        <v>France</v>
      </c>
      <c r="M123" s="12">
        <f>Table1[[#This Row],[Price]]*Table1[[#This Row],[Quantity]]</f>
        <v>6799</v>
      </c>
      <c r="N123" s="12" t="str" cm="1">
        <f t="array" ref="N123">_xlfn.IFS(Table1[[#This Row],[Revenue]]&lt;=3267,"Low Sales",Table1[[#This Row],[Revenue]]&lt;=6534,"Fair Sales",Table1[[#This Row],[Revenue]]&gt;6534,"High Sales")</f>
        <v>High Sales</v>
      </c>
    </row>
    <row r="124" spans="1:14" x14ac:dyDescent="0.25">
      <c r="A124" s="9">
        <v>10576</v>
      </c>
      <c r="B124" s="4">
        <v>44897</v>
      </c>
      <c r="C124" s="4" t="str">
        <f>TEXT(Table1[[#This Row],[Date]],"mmmm")</f>
        <v>December</v>
      </c>
      <c r="D124" s="4" t="str">
        <f>TEXT(Table1[[#This Row],[Date]],"dddd")</f>
        <v>Friday</v>
      </c>
      <c r="E124" t="s">
        <v>24</v>
      </c>
      <c r="F124" s="11">
        <v>10</v>
      </c>
      <c r="G124">
        <v>201</v>
      </c>
      <c r="H124" s="8" t="s">
        <v>9</v>
      </c>
      <c r="I124" s="8" t="s">
        <v>21</v>
      </c>
      <c r="J124" t="s">
        <v>27</v>
      </c>
      <c r="K124" t="s">
        <v>26</v>
      </c>
      <c r="L124" t="str" cm="1">
        <f t="array" ref="L124">_xlfn.IFS(Table1[[#This Row],[City]]="Berlin","Germany",Table1[[#This Row],[City]]="Lisbon","Portugal",Table1[[#This Row],[City]]="London","United Kingdom",Table1[[#This Row],[City]]="Madrid","Spain",Table1[[#This Row],[City]]="Paris","France")</f>
        <v>France</v>
      </c>
      <c r="M124" s="12">
        <f>Table1[[#This Row],[Price]]*Table1[[#This Row],[Quantity]]</f>
        <v>2010</v>
      </c>
      <c r="N124" s="12" t="str" cm="1">
        <f t="array" ref="N124">_xlfn.IFS(Table1[[#This Row],[Revenue]]&lt;=3267,"Low Sales",Table1[[#This Row],[Revenue]]&lt;=6534,"Fair Sales",Table1[[#This Row],[Revenue]]&gt;6534,"High Sales")</f>
        <v>Low Sales</v>
      </c>
    </row>
    <row r="125" spans="1:14" x14ac:dyDescent="0.25">
      <c r="A125" s="9">
        <v>10577</v>
      </c>
      <c r="B125" s="4">
        <v>44897</v>
      </c>
      <c r="C125" s="4" t="str">
        <f>TEXT(Table1[[#This Row],[Date]],"mmmm")</f>
        <v>December</v>
      </c>
      <c r="D125" s="4" t="str">
        <f>TEXT(Table1[[#This Row],[Date]],"dddd")</f>
        <v>Friday</v>
      </c>
      <c r="E125" t="s">
        <v>8</v>
      </c>
      <c r="F125" s="11">
        <v>4</v>
      </c>
      <c r="G125">
        <v>630</v>
      </c>
      <c r="H125" s="8" t="s">
        <v>9</v>
      </c>
      <c r="I125" s="8" t="s">
        <v>21</v>
      </c>
      <c r="J125" t="s">
        <v>27</v>
      </c>
      <c r="K125" t="s">
        <v>26</v>
      </c>
      <c r="L125" t="str" cm="1">
        <f t="array" ref="L125">_xlfn.IFS(Table1[[#This Row],[City]]="Berlin","Germany",Table1[[#This Row],[City]]="Lisbon","Portugal",Table1[[#This Row],[City]]="London","United Kingdom",Table1[[#This Row],[City]]="Madrid","Spain",Table1[[#This Row],[City]]="Paris","France")</f>
        <v>France</v>
      </c>
      <c r="M125" s="12">
        <f>Table1[[#This Row],[Price]]*Table1[[#This Row],[Quantity]]</f>
        <v>2520</v>
      </c>
      <c r="N125" s="12" t="str" cm="1">
        <f t="array" ref="N125">_xlfn.IFS(Table1[[#This Row],[Revenue]]&lt;=3267,"Low Sales",Table1[[#This Row],[Revenue]]&lt;=6534,"Fair Sales",Table1[[#This Row],[Revenue]]&gt;6534,"High Sales")</f>
        <v>Low Sales</v>
      </c>
    </row>
    <row r="126" spans="1:14" x14ac:dyDescent="0.25">
      <c r="A126" s="9">
        <v>10578</v>
      </c>
      <c r="B126" s="4">
        <v>44897</v>
      </c>
      <c r="C126" s="4" t="str">
        <f>TEXT(Table1[[#This Row],[Date]],"mmmm")</f>
        <v>December</v>
      </c>
      <c r="D126" s="4" t="str">
        <f>TEXT(Table1[[#This Row],[Date]],"dddd")</f>
        <v>Friday</v>
      </c>
      <c r="E126" t="s">
        <v>13</v>
      </c>
      <c r="F126" s="11">
        <v>3</v>
      </c>
      <c r="G126">
        <v>678</v>
      </c>
      <c r="H126" s="8" t="s">
        <v>9</v>
      </c>
      <c r="I126" s="8" t="s">
        <v>21</v>
      </c>
      <c r="J126" t="s">
        <v>27</v>
      </c>
      <c r="K126" t="s">
        <v>26</v>
      </c>
      <c r="L126" t="str" cm="1">
        <f t="array" ref="L126">_xlfn.IFS(Table1[[#This Row],[City]]="Berlin","Germany",Table1[[#This Row],[City]]="Lisbon","Portugal",Table1[[#This Row],[City]]="London","United Kingdom",Table1[[#This Row],[City]]="Madrid","Spain",Table1[[#This Row],[City]]="Paris","France")</f>
        <v>France</v>
      </c>
      <c r="M126" s="12">
        <f>Table1[[#This Row],[Price]]*Table1[[#This Row],[Quantity]]</f>
        <v>2034</v>
      </c>
      <c r="N126" s="12" t="str" cm="1">
        <f t="array" ref="N126">_xlfn.IFS(Table1[[#This Row],[Revenue]]&lt;=3267,"Low Sales",Table1[[#This Row],[Revenue]]&lt;=6534,"Fair Sales",Table1[[#This Row],[Revenue]]&gt;6534,"High Sales")</f>
        <v>Low Sales</v>
      </c>
    </row>
    <row r="127" spans="1:14" x14ac:dyDescent="0.25">
      <c r="A127" s="9">
        <v>10579</v>
      </c>
      <c r="B127" s="4">
        <v>44897</v>
      </c>
      <c r="C127" s="4" t="str">
        <f>TEXT(Table1[[#This Row],[Date]],"mmmm")</f>
        <v>December</v>
      </c>
      <c r="D127" s="4" t="str">
        <f>TEXT(Table1[[#This Row],[Date]],"dddd")</f>
        <v>Friday</v>
      </c>
      <c r="E127" t="s">
        <v>16</v>
      </c>
      <c r="F127" s="11">
        <v>5</v>
      </c>
      <c r="G127">
        <v>200</v>
      </c>
      <c r="H127" s="8" t="s">
        <v>9</v>
      </c>
      <c r="I127" s="8" t="s">
        <v>21</v>
      </c>
      <c r="J127" t="s">
        <v>27</v>
      </c>
      <c r="K127" t="s">
        <v>26</v>
      </c>
      <c r="L127" t="str" cm="1">
        <f t="array" ref="L127">_xlfn.IFS(Table1[[#This Row],[City]]="Berlin","Germany",Table1[[#This Row],[City]]="Lisbon","Portugal",Table1[[#This Row],[City]]="London","United Kingdom",Table1[[#This Row],[City]]="Madrid","Spain",Table1[[#This Row],[City]]="Paris","France")</f>
        <v>France</v>
      </c>
      <c r="M127" s="12">
        <f>Table1[[#This Row],[Price]]*Table1[[#This Row],[Quantity]]</f>
        <v>1000</v>
      </c>
      <c r="N127" s="12" t="str" cm="1">
        <f t="array" ref="N127">_xlfn.IFS(Table1[[#This Row],[Revenue]]&lt;=3267,"Low Sales",Table1[[#This Row],[Revenue]]&lt;=6534,"Fair Sales",Table1[[#This Row],[Revenue]]&gt;6534,"High Sales")</f>
        <v>Low Sales</v>
      </c>
    </row>
    <row r="128" spans="1:14" x14ac:dyDescent="0.25">
      <c r="A128" s="9">
        <v>10580</v>
      </c>
      <c r="B128" s="4">
        <v>44898</v>
      </c>
      <c r="C128" s="4" t="str">
        <f>TEXT(Table1[[#This Row],[Date]],"mmmm")</f>
        <v>December</v>
      </c>
      <c r="D128" s="4" t="str">
        <f>TEXT(Table1[[#This Row],[Date]],"dddd")</f>
        <v>Saturday</v>
      </c>
      <c r="E128" t="s">
        <v>20</v>
      </c>
      <c r="F128" s="11">
        <v>13</v>
      </c>
      <c r="G128">
        <v>523</v>
      </c>
      <c r="H128" s="8" t="s">
        <v>9</v>
      </c>
      <c r="I128" s="8" t="s">
        <v>21</v>
      </c>
      <c r="J128" t="s">
        <v>27</v>
      </c>
      <c r="K128" t="s">
        <v>26</v>
      </c>
      <c r="L128" t="str" cm="1">
        <f t="array" ref="L128">_xlfn.IFS(Table1[[#This Row],[City]]="Berlin","Germany",Table1[[#This Row],[City]]="Lisbon","Portugal",Table1[[#This Row],[City]]="London","United Kingdom",Table1[[#This Row],[City]]="Madrid","Spain",Table1[[#This Row],[City]]="Paris","France")</f>
        <v>France</v>
      </c>
      <c r="M128" s="12">
        <f>Table1[[#This Row],[Price]]*Table1[[#This Row],[Quantity]]</f>
        <v>6799</v>
      </c>
      <c r="N128" s="12" t="str" cm="1">
        <f t="array" ref="N128">_xlfn.IFS(Table1[[#This Row],[Revenue]]&lt;=3267,"Low Sales",Table1[[#This Row],[Revenue]]&lt;=6534,"Fair Sales",Table1[[#This Row],[Revenue]]&gt;6534,"High Sales")</f>
        <v>High Sales</v>
      </c>
    </row>
    <row r="129" spans="1:14" x14ac:dyDescent="0.25">
      <c r="A129" s="9">
        <v>10581</v>
      </c>
      <c r="B129" s="4">
        <v>44898</v>
      </c>
      <c r="C129" s="4" t="str">
        <f>TEXT(Table1[[#This Row],[Date]],"mmmm")</f>
        <v>December</v>
      </c>
      <c r="D129" s="4" t="str">
        <f>TEXT(Table1[[#This Row],[Date]],"dddd")</f>
        <v>Saturday</v>
      </c>
      <c r="E129" t="s">
        <v>24</v>
      </c>
      <c r="F129" s="11">
        <v>10</v>
      </c>
      <c r="G129">
        <v>201</v>
      </c>
      <c r="H129" s="8" t="s">
        <v>9</v>
      </c>
      <c r="I129" s="8" t="s">
        <v>21</v>
      </c>
      <c r="J129" t="s">
        <v>27</v>
      </c>
      <c r="K129" t="s">
        <v>26</v>
      </c>
      <c r="L129" t="str" cm="1">
        <f t="array" ref="L129">_xlfn.IFS(Table1[[#This Row],[City]]="Berlin","Germany",Table1[[#This Row],[City]]="Lisbon","Portugal",Table1[[#This Row],[City]]="London","United Kingdom",Table1[[#This Row],[City]]="Madrid","Spain",Table1[[#This Row],[City]]="Paris","France")</f>
        <v>France</v>
      </c>
      <c r="M129" s="12">
        <f>Table1[[#This Row],[Price]]*Table1[[#This Row],[Quantity]]</f>
        <v>2010</v>
      </c>
      <c r="N129" s="12" t="str" cm="1">
        <f t="array" ref="N129">_xlfn.IFS(Table1[[#This Row],[Revenue]]&lt;=3267,"Low Sales",Table1[[#This Row],[Revenue]]&lt;=6534,"Fair Sales",Table1[[#This Row],[Revenue]]&gt;6534,"High Sales")</f>
        <v>Low Sales</v>
      </c>
    </row>
    <row r="130" spans="1:14" x14ac:dyDescent="0.25">
      <c r="A130" s="9">
        <v>10582</v>
      </c>
      <c r="B130" s="4">
        <v>44898</v>
      </c>
      <c r="C130" s="4" t="str">
        <f>TEXT(Table1[[#This Row],[Date]],"mmmm")</f>
        <v>December</v>
      </c>
      <c r="D130" s="4" t="str">
        <f>TEXT(Table1[[#This Row],[Date]],"dddd")</f>
        <v>Saturday</v>
      </c>
      <c r="E130" t="s">
        <v>8</v>
      </c>
      <c r="F130" s="11">
        <v>4</v>
      </c>
      <c r="G130">
        <v>630</v>
      </c>
      <c r="H130" s="8" t="s">
        <v>9</v>
      </c>
      <c r="I130" s="8" t="s">
        <v>21</v>
      </c>
      <c r="J130" t="s">
        <v>37</v>
      </c>
      <c r="K130" t="s">
        <v>12</v>
      </c>
      <c r="L130" t="str" cm="1">
        <f t="array" ref="L130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30" s="12">
        <f>Table1[[#This Row],[Price]]*Table1[[#This Row],[Quantity]]</f>
        <v>2520</v>
      </c>
      <c r="N130" s="12" t="str" cm="1">
        <f t="array" ref="N130">_xlfn.IFS(Table1[[#This Row],[Revenue]]&lt;=3267,"Low Sales",Table1[[#This Row],[Revenue]]&lt;=6534,"Fair Sales",Table1[[#This Row],[Revenue]]&gt;6534,"High Sales")</f>
        <v>Low Sales</v>
      </c>
    </row>
    <row r="131" spans="1:14" x14ac:dyDescent="0.25">
      <c r="A131" s="9">
        <v>10583</v>
      </c>
      <c r="B131" s="4">
        <v>44898</v>
      </c>
      <c r="C131" s="4" t="str">
        <f>TEXT(Table1[[#This Row],[Date]],"mmmm")</f>
        <v>December</v>
      </c>
      <c r="D131" s="4" t="str">
        <f>TEXT(Table1[[#This Row],[Date]],"dddd")</f>
        <v>Saturday</v>
      </c>
      <c r="E131" t="s">
        <v>13</v>
      </c>
      <c r="F131" s="11">
        <v>3</v>
      </c>
      <c r="G131">
        <v>678</v>
      </c>
      <c r="H131" s="8" t="s">
        <v>9</v>
      </c>
      <c r="I131" s="8" t="s">
        <v>21</v>
      </c>
      <c r="J131" t="s">
        <v>37</v>
      </c>
      <c r="K131" t="s">
        <v>12</v>
      </c>
      <c r="L131" t="str" cm="1">
        <f t="array" ref="L131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31" s="12">
        <f>Table1[[#This Row],[Price]]*Table1[[#This Row],[Quantity]]</f>
        <v>2034</v>
      </c>
      <c r="N131" s="12" t="str" cm="1">
        <f t="array" ref="N131">_xlfn.IFS(Table1[[#This Row],[Revenue]]&lt;=3267,"Low Sales",Table1[[#This Row],[Revenue]]&lt;=6534,"Fair Sales",Table1[[#This Row],[Revenue]]&gt;6534,"High Sales")</f>
        <v>Low Sales</v>
      </c>
    </row>
    <row r="132" spans="1:14" x14ac:dyDescent="0.25">
      <c r="A132" s="9">
        <v>10584</v>
      </c>
      <c r="B132" s="4">
        <v>44898</v>
      </c>
      <c r="C132" s="4" t="str">
        <f>TEXT(Table1[[#This Row],[Date]],"mmmm")</f>
        <v>December</v>
      </c>
      <c r="D132" s="4" t="str">
        <f>TEXT(Table1[[#This Row],[Date]],"dddd")</f>
        <v>Saturday</v>
      </c>
      <c r="E132" t="s">
        <v>16</v>
      </c>
      <c r="F132" s="11">
        <v>5</v>
      </c>
      <c r="G132">
        <v>200</v>
      </c>
      <c r="H132" s="8" t="s">
        <v>9</v>
      </c>
      <c r="I132" s="8" t="s">
        <v>21</v>
      </c>
      <c r="J132" t="s">
        <v>37</v>
      </c>
      <c r="K132" t="s">
        <v>12</v>
      </c>
      <c r="L132" t="str" cm="1">
        <f t="array" ref="L132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32" s="12">
        <f>Table1[[#This Row],[Price]]*Table1[[#This Row],[Quantity]]</f>
        <v>1000</v>
      </c>
      <c r="N132" s="12" t="str" cm="1">
        <f t="array" ref="N132">_xlfn.IFS(Table1[[#This Row],[Revenue]]&lt;=3267,"Low Sales",Table1[[#This Row],[Revenue]]&lt;=6534,"Fair Sales",Table1[[#This Row],[Revenue]]&gt;6534,"High Sales")</f>
        <v>Low Sales</v>
      </c>
    </row>
    <row r="133" spans="1:14" x14ac:dyDescent="0.25">
      <c r="A133" s="9">
        <v>10585</v>
      </c>
      <c r="B133" s="4">
        <v>44899</v>
      </c>
      <c r="C133" s="4" t="str">
        <f>TEXT(Table1[[#This Row],[Date]],"mmmm")</f>
        <v>December</v>
      </c>
      <c r="D133" s="4" t="str">
        <f>TEXT(Table1[[#This Row],[Date]],"dddd")</f>
        <v>Sunday</v>
      </c>
      <c r="E133" t="s">
        <v>20</v>
      </c>
      <c r="F133" s="11">
        <v>13</v>
      </c>
      <c r="G133">
        <v>539</v>
      </c>
      <c r="H133" s="8" t="s">
        <v>9</v>
      </c>
      <c r="I133" s="8" t="s">
        <v>21</v>
      </c>
      <c r="J133" t="s">
        <v>37</v>
      </c>
      <c r="K133" t="s">
        <v>12</v>
      </c>
      <c r="L133" t="str" cm="1">
        <f t="array" ref="L133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33" s="12">
        <f>Table1[[#This Row],[Price]]*Table1[[#This Row],[Quantity]]</f>
        <v>7007</v>
      </c>
      <c r="N133" s="12" t="str" cm="1">
        <f t="array" ref="N133">_xlfn.IFS(Table1[[#This Row],[Revenue]]&lt;=3267,"Low Sales",Table1[[#This Row],[Revenue]]&lt;=6534,"Fair Sales",Table1[[#This Row],[Revenue]]&gt;6534,"High Sales")</f>
        <v>High Sales</v>
      </c>
    </row>
    <row r="134" spans="1:14" x14ac:dyDescent="0.25">
      <c r="A134" s="9">
        <v>10586</v>
      </c>
      <c r="B134" s="4">
        <v>44899</v>
      </c>
      <c r="C134" s="4" t="str">
        <f>TEXT(Table1[[#This Row],[Date]],"mmmm")</f>
        <v>December</v>
      </c>
      <c r="D134" s="4" t="str">
        <f>TEXT(Table1[[#This Row],[Date]],"dddd")</f>
        <v>Sunday</v>
      </c>
      <c r="E134" t="s">
        <v>24</v>
      </c>
      <c r="F134" s="11">
        <v>10</v>
      </c>
      <c r="G134">
        <v>201</v>
      </c>
      <c r="H134" s="8" t="s">
        <v>9</v>
      </c>
      <c r="I134" s="8" t="s">
        <v>21</v>
      </c>
      <c r="J134" t="s">
        <v>37</v>
      </c>
      <c r="K134" t="s">
        <v>12</v>
      </c>
      <c r="L134" t="str" cm="1">
        <f t="array" ref="L134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34" s="12">
        <f>Table1[[#This Row],[Price]]*Table1[[#This Row],[Quantity]]</f>
        <v>2010</v>
      </c>
      <c r="N134" s="12" t="str" cm="1">
        <f t="array" ref="N134">_xlfn.IFS(Table1[[#This Row],[Revenue]]&lt;=3267,"Low Sales",Table1[[#This Row],[Revenue]]&lt;=6534,"Fair Sales",Table1[[#This Row],[Revenue]]&gt;6534,"High Sales")</f>
        <v>Low Sales</v>
      </c>
    </row>
    <row r="135" spans="1:14" x14ac:dyDescent="0.25">
      <c r="A135" s="9">
        <v>10590</v>
      </c>
      <c r="B135" s="4">
        <v>44900</v>
      </c>
      <c r="C135" s="4" t="str">
        <f>TEXT(Table1[[#This Row],[Date]],"mmmm")</f>
        <v>December</v>
      </c>
      <c r="D135" s="4" t="str">
        <f>TEXT(Table1[[#This Row],[Date]],"dddd")</f>
        <v>Monday</v>
      </c>
      <c r="E135" t="s">
        <v>20</v>
      </c>
      <c r="F135" s="11">
        <v>13</v>
      </c>
      <c r="G135">
        <v>554</v>
      </c>
      <c r="H135" s="8" t="s">
        <v>9</v>
      </c>
      <c r="I135" s="8" t="s">
        <v>21</v>
      </c>
      <c r="J135" t="s">
        <v>37</v>
      </c>
      <c r="K135" t="s">
        <v>12</v>
      </c>
      <c r="L135" t="str" cm="1">
        <f t="array" ref="L135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35" s="12">
        <f>Table1[[#This Row],[Price]]*Table1[[#This Row],[Quantity]]</f>
        <v>7202</v>
      </c>
      <c r="N135" s="12" t="str" cm="1">
        <f t="array" ref="N135">_xlfn.IFS(Table1[[#This Row],[Revenue]]&lt;=3267,"Low Sales",Table1[[#This Row],[Revenue]]&lt;=6534,"Fair Sales",Table1[[#This Row],[Revenue]]&gt;6534,"High Sales")</f>
        <v>High Sales</v>
      </c>
    </row>
    <row r="136" spans="1:14" x14ac:dyDescent="0.25">
      <c r="A136" s="9">
        <v>10591</v>
      </c>
      <c r="B136" s="4">
        <v>44900</v>
      </c>
      <c r="C136" s="4" t="str">
        <f>TEXT(Table1[[#This Row],[Date]],"mmmm")</f>
        <v>December</v>
      </c>
      <c r="D136" s="4" t="str">
        <f>TEXT(Table1[[#This Row],[Date]],"dddd")</f>
        <v>Monday</v>
      </c>
      <c r="E136" t="s">
        <v>24</v>
      </c>
      <c r="F136" s="11">
        <v>10</v>
      </c>
      <c r="G136">
        <v>201</v>
      </c>
      <c r="H136" s="8" t="s">
        <v>9</v>
      </c>
      <c r="I136" s="8" t="s">
        <v>21</v>
      </c>
      <c r="J136" t="s">
        <v>37</v>
      </c>
      <c r="K136" t="s">
        <v>12</v>
      </c>
      <c r="L136" t="str" cm="1">
        <f t="array" ref="L136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36" s="12">
        <f>Table1[[#This Row],[Price]]*Table1[[#This Row],[Quantity]]</f>
        <v>2010</v>
      </c>
      <c r="N136" s="12" t="str" cm="1">
        <f t="array" ref="N136">_xlfn.IFS(Table1[[#This Row],[Revenue]]&lt;=3267,"Low Sales",Table1[[#This Row],[Revenue]]&lt;=6534,"Fair Sales",Table1[[#This Row],[Revenue]]&gt;6534,"High Sales")</f>
        <v>Low Sales</v>
      </c>
    </row>
    <row r="137" spans="1:14" x14ac:dyDescent="0.25">
      <c r="A137" s="9">
        <v>10592</v>
      </c>
      <c r="B137" s="4">
        <v>44900</v>
      </c>
      <c r="C137" s="4" t="str">
        <f>TEXT(Table1[[#This Row],[Date]],"mmmm")</f>
        <v>December</v>
      </c>
      <c r="D137" s="4" t="str">
        <f>TEXT(Table1[[#This Row],[Date]],"dddd")</f>
        <v>Monday</v>
      </c>
      <c r="E137" t="s">
        <v>8</v>
      </c>
      <c r="F137" s="11">
        <v>4</v>
      </c>
      <c r="G137">
        <v>573</v>
      </c>
      <c r="H137" s="8" t="s">
        <v>9</v>
      </c>
      <c r="I137" s="8" t="s">
        <v>21</v>
      </c>
      <c r="J137" t="s">
        <v>37</v>
      </c>
      <c r="K137" t="s">
        <v>12</v>
      </c>
      <c r="L137" t="str" cm="1">
        <f t="array" ref="L137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37" s="12">
        <f>Table1[[#This Row],[Price]]*Table1[[#This Row],[Quantity]]</f>
        <v>2292</v>
      </c>
      <c r="N137" s="12" t="str" cm="1">
        <f t="array" ref="N137">_xlfn.IFS(Table1[[#This Row],[Revenue]]&lt;=3267,"Low Sales",Table1[[#This Row],[Revenue]]&lt;=6534,"Fair Sales",Table1[[#This Row],[Revenue]]&gt;6534,"High Sales")</f>
        <v>Low Sales</v>
      </c>
    </row>
    <row r="138" spans="1:14" x14ac:dyDescent="0.25">
      <c r="A138" s="9">
        <v>10593</v>
      </c>
      <c r="B138" s="4">
        <v>44900</v>
      </c>
      <c r="C138" s="4" t="str">
        <f>TEXT(Table1[[#This Row],[Date]],"mmmm")</f>
        <v>December</v>
      </c>
      <c r="D138" s="4" t="str">
        <f>TEXT(Table1[[#This Row],[Date]],"dddd")</f>
        <v>Monday</v>
      </c>
      <c r="E138" t="s">
        <v>13</v>
      </c>
      <c r="F138" s="11">
        <v>3</v>
      </c>
      <c r="G138">
        <v>678</v>
      </c>
      <c r="H138" s="8" t="s">
        <v>9</v>
      </c>
      <c r="I138" s="8" t="s">
        <v>21</v>
      </c>
      <c r="J138" t="s">
        <v>37</v>
      </c>
      <c r="K138" t="s">
        <v>12</v>
      </c>
      <c r="L138" t="str" cm="1">
        <f t="array" ref="L138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38" s="12">
        <f>Table1[[#This Row],[Price]]*Table1[[#This Row],[Quantity]]</f>
        <v>2034</v>
      </c>
      <c r="N138" s="12" t="str" cm="1">
        <f t="array" ref="N138">_xlfn.IFS(Table1[[#This Row],[Revenue]]&lt;=3267,"Low Sales",Table1[[#This Row],[Revenue]]&lt;=6534,"Fair Sales",Table1[[#This Row],[Revenue]]&gt;6534,"High Sales")</f>
        <v>Low Sales</v>
      </c>
    </row>
    <row r="139" spans="1:14" x14ac:dyDescent="0.25">
      <c r="A139" s="9">
        <v>10594</v>
      </c>
      <c r="B139" s="4">
        <v>44900</v>
      </c>
      <c r="C139" s="4" t="str">
        <f>TEXT(Table1[[#This Row],[Date]],"mmmm")</f>
        <v>December</v>
      </c>
      <c r="D139" s="4" t="str">
        <f>TEXT(Table1[[#This Row],[Date]],"dddd")</f>
        <v>Monday</v>
      </c>
      <c r="E139" t="s">
        <v>16</v>
      </c>
      <c r="F139" s="11">
        <v>5</v>
      </c>
      <c r="G139">
        <v>200</v>
      </c>
      <c r="H139" s="8" t="s">
        <v>9</v>
      </c>
      <c r="I139" s="8" t="s">
        <v>21</v>
      </c>
      <c r="J139" t="s">
        <v>37</v>
      </c>
      <c r="K139" t="s">
        <v>12</v>
      </c>
      <c r="L139" t="str" cm="1">
        <f t="array" ref="L139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39" s="12">
        <f>Table1[[#This Row],[Price]]*Table1[[#This Row],[Quantity]]</f>
        <v>1000</v>
      </c>
      <c r="N139" s="12" t="str" cm="1">
        <f t="array" ref="N139">_xlfn.IFS(Table1[[#This Row],[Revenue]]&lt;=3267,"Low Sales",Table1[[#This Row],[Revenue]]&lt;=6534,"Fair Sales",Table1[[#This Row],[Revenue]]&gt;6534,"High Sales")</f>
        <v>Low Sales</v>
      </c>
    </row>
    <row r="140" spans="1:14" x14ac:dyDescent="0.25">
      <c r="A140" s="9">
        <v>10595</v>
      </c>
      <c r="B140" s="4">
        <v>44901</v>
      </c>
      <c r="C140" s="4" t="str">
        <f>TEXT(Table1[[#This Row],[Date]],"mmmm")</f>
        <v>December</v>
      </c>
      <c r="D140" s="4" t="str">
        <f>TEXT(Table1[[#This Row],[Date]],"dddd")</f>
        <v>Tuesday</v>
      </c>
      <c r="E140" t="s">
        <v>20</v>
      </c>
      <c r="F140" s="11">
        <v>13</v>
      </c>
      <c r="G140">
        <v>539</v>
      </c>
      <c r="H140" s="8" t="s">
        <v>9</v>
      </c>
      <c r="I140" s="8" t="s">
        <v>21</v>
      </c>
      <c r="J140" t="s">
        <v>37</v>
      </c>
      <c r="K140" t="s">
        <v>12</v>
      </c>
      <c r="L140" t="str" cm="1">
        <f t="array" ref="L140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40" s="12">
        <f>Table1[[#This Row],[Price]]*Table1[[#This Row],[Quantity]]</f>
        <v>7007</v>
      </c>
      <c r="N140" s="12" t="str" cm="1">
        <f t="array" ref="N140">_xlfn.IFS(Table1[[#This Row],[Revenue]]&lt;=3267,"Low Sales",Table1[[#This Row],[Revenue]]&lt;=6534,"Fair Sales",Table1[[#This Row],[Revenue]]&gt;6534,"High Sales")</f>
        <v>High Sales</v>
      </c>
    </row>
    <row r="141" spans="1:14" x14ac:dyDescent="0.25">
      <c r="A141" s="9">
        <v>10596</v>
      </c>
      <c r="B141" s="4">
        <v>44901</v>
      </c>
      <c r="C141" s="4" t="str">
        <f>TEXT(Table1[[#This Row],[Date]],"mmmm")</f>
        <v>December</v>
      </c>
      <c r="D141" s="4" t="str">
        <f>TEXT(Table1[[#This Row],[Date]],"dddd")</f>
        <v>Tuesday</v>
      </c>
      <c r="E141" t="s">
        <v>24</v>
      </c>
      <c r="F141" s="11">
        <v>10</v>
      </c>
      <c r="G141">
        <v>201</v>
      </c>
      <c r="H141" s="8" t="s">
        <v>9</v>
      </c>
      <c r="I141" s="8" t="s">
        <v>21</v>
      </c>
      <c r="J141" t="s">
        <v>37</v>
      </c>
      <c r="K141" t="s">
        <v>12</v>
      </c>
      <c r="L141" t="str" cm="1">
        <f t="array" ref="L141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41" s="12">
        <f>Table1[[#This Row],[Price]]*Table1[[#This Row],[Quantity]]</f>
        <v>2010</v>
      </c>
      <c r="N141" s="12" t="str" cm="1">
        <f t="array" ref="N141">_xlfn.IFS(Table1[[#This Row],[Revenue]]&lt;=3267,"Low Sales",Table1[[#This Row],[Revenue]]&lt;=6534,"Fair Sales",Table1[[#This Row],[Revenue]]&gt;6534,"High Sales")</f>
        <v>Low Sales</v>
      </c>
    </row>
    <row r="142" spans="1:14" x14ac:dyDescent="0.25">
      <c r="A142" s="9">
        <v>10597</v>
      </c>
      <c r="B142" s="4">
        <v>44901</v>
      </c>
      <c r="C142" s="4" t="str">
        <f>TEXT(Table1[[#This Row],[Date]],"mmmm")</f>
        <v>December</v>
      </c>
      <c r="D142" s="4" t="str">
        <f>TEXT(Table1[[#This Row],[Date]],"dddd")</f>
        <v>Tuesday</v>
      </c>
      <c r="E142" t="s">
        <v>8</v>
      </c>
      <c r="F142" s="11">
        <v>4</v>
      </c>
      <c r="G142">
        <v>573</v>
      </c>
      <c r="H142" s="8" t="s">
        <v>9</v>
      </c>
      <c r="I142" s="8" t="s">
        <v>21</v>
      </c>
      <c r="J142" t="s">
        <v>37</v>
      </c>
      <c r="K142" t="s">
        <v>12</v>
      </c>
      <c r="L142" t="str" cm="1">
        <f t="array" ref="L142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42" s="12">
        <f>Table1[[#This Row],[Price]]*Table1[[#This Row],[Quantity]]</f>
        <v>2292</v>
      </c>
      <c r="N142" s="12" t="str" cm="1">
        <f t="array" ref="N142">_xlfn.IFS(Table1[[#This Row],[Revenue]]&lt;=3267,"Low Sales",Table1[[#This Row],[Revenue]]&lt;=6534,"Fair Sales",Table1[[#This Row],[Revenue]]&gt;6534,"High Sales")</f>
        <v>Low Sales</v>
      </c>
    </row>
    <row r="143" spans="1:14" x14ac:dyDescent="0.25">
      <c r="A143" s="9">
        <v>10598</v>
      </c>
      <c r="B143" s="4">
        <v>44901</v>
      </c>
      <c r="C143" s="4" t="str">
        <f>TEXT(Table1[[#This Row],[Date]],"mmmm")</f>
        <v>December</v>
      </c>
      <c r="D143" s="4" t="str">
        <f>TEXT(Table1[[#This Row],[Date]],"dddd")</f>
        <v>Tuesday</v>
      </c>
      <c r="E143" t="s">
        <v>13</v>
      </c>
      <c r="F143" s="11">
        <v>3</v>
      </c>
      <c r="G143">
        <v>678</v>
      </c>
      <c r="H143" s="8" t="s">
        <v>9</v>
      </c>
      <c r="I143" s="8" t="s">
        <v>21</v>
      </c>
      <c r="J143" t="s">
        <v>37</v>
      </c>
      <c r="K143" t="s">
        <v>12</v>
      </c>
      <c r="L143" t="str" cm="1">
        <f t="array" ref="L143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43" s="12">
        <f>Table1[[#This Row],[Price]]*Table1[[#This Row],[Quantity]]</f>
        <v>2034</v>
      </c>
      <c r="N143" s="12" t="str" cm="1">
        <f t="array" ref="N143">_xlfn.IFS(Table1[[#This Row],[Revenue]]&lt;=3267,"Low Sales",Table1[[#This Row],[Revenue]]&lt;=6534,"Fair Sales",Table1[[#This Row],[Revenue]]&gt;6534,"High Sales")</f>
        <v>Low Sales</v>
      </c>
    </row>
    <row r="144" spans="1:14" x14ac:dyDescent="0.25">
      <c r="A144" s="9">
        <v>10599</v>
      </c>
      <c r="B144" s="4">
        <v>44901</v>
      </c>
      <c r="C144" s="4" t="str">
        <f>TEXT(Table1[[#This Row],[Date]],"mmmm")</f>
        <v>December</v>
      </c>
      <c r="D144" s="4" t="str">
        <f>TEXT(Table1[[#This Row],[Date]],"dddd")</f>
        <v>Tuesday</v>
      </c>
      <c r="E144" t="s">
        <v>16</v>
      </c>
      <c r="F144" s="11">
        <v>5</v>
      </c>
      <c r="G144">
        <v>200</v>
      </c>
      <c r="H144" s="8" t="s">
        <v>9</v>
      </c>
      <c r="I144" s="8" t="s">
        <v>21</v>
      </c>
      <c r="J144" t="s">
        <v>37</v>
      </c>
      <c r="K144" t="s">
        <v>12</v>
      </c>
      <c r="L144" t="str" cm="1">
        <f t="array" ref="L144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44" s="12">
        <f>Table1[[#This Row],[Price]]*Table1[[#This Row],[Quantity]]</f>
        <v>1000</v>
      </c>
      <c r="N144" s="12" t="str" cm="1">
        <f t="array" ref="N144">_xlfn.IFS(Table1[[#This Row],[Revenue]]&lt;=3267,"Low Sales",Table1[[#This Row],[Revenue]]&lt;=6534,"Fair Sales",Table1[[#This Row],[Revenue]]&gt;6534,"High Sales")</f>
        <v>Low Sales</v>
      </c>
    </row>
    <row r="145" spans="1:14" x14ac:dyDescent="0.25">
      <c r="A145" s="9">
        <v>10600</v>
      </c>
      <c r="B145" s="4">
        <v>44902</v>
      </c>
      <c r="C145" s="4" t="str">
        <f>TEXT(Table1[[#This Row],[Date]],"mmmm")</f>
        <v>December</v>
      </c>
      <c r="D145" s="4" t="str">
        <f>TEXT(Table1[[#This Row],[Date]],"dddd")</f>
        <v>Wednesday</v>
      </c>
      <c r="E145" t="s">
        <v>20</v>
      </c>
      <c r="F145" s="11">
        <v>13</v>
      </c>
      <c r="G145">
        <v>523</v>
      </c>
      <c r="H145" s="8" t="s">
        <v>9</v>
      </c>
      <c r="I145" s="8" t="s">
        <v>21</v>
      </c>
      <c r="J145" t="s">
        <v>37</v>
      </c>
      <c r="K145" t="s">
        <v>12</v>
      </c>
      <c r="L145" t="str" cm="1">
        <f t="array" ref="L145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45" s="12">
        <f>Table1[[#This Row],[Price]]*Table1[[#This Row],[Quantity]]</f>
        <v>6799</v>
      </c>
      <c r="N145" s="12" t="str" cm="1">
        <f t="array" ref="N145">_xlfn.IFS(Table1[[#This Row],[Revenue]]&lt;=3267,"Low Sales",Table1[[#This Row],[Revenue]]&lt;=6534,"Fair Sales",Table1[[#This Row],[Revenue]]&gt;6534,"High Sales")</f>
        <v>High Sales</v>
      </c>
    </row>
    <row r="146" spans="1:14" x14ac:dyDescent="0.25">
      <c r="A146" s="9">
        <v>10601</v>
      </c>
      <c r="B146" s="4">
        <v>44902</v>
      </c>
      <c r="C146" s="4" t="str">
        <f>TEXT(Table1[[#This Row],[Date]],"mmmm")</f>
        <v>December</v>
      </c>
      <c r="D146" s="4" t="str">
        <f>TEXT(Table1[[#This Row],[Date]],"dddd")</f>
        <v>Wednesday</v>
      </c>
      <c r="E146" t="s">
        <v>24</v>
      </c>
      <c r="F146" s="11">
        <v>10</v>
      </c>
      <c r="G146">
        <v>201</v>
      </c>
      <c r="H146" s="8" t="s">
        <v>9</v>
      </c>
      <c r="I146" s="8" t="s">
        <v>21</v>
      </c>
      <c r="J146" t="s">
        <v>37</v>
      </c>
      <c r="K146" t="s">
        <v>12</v>
      </c>
      <c r="L146" t="str" cm="1">
        <f t="array" ref="L146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46" s="12">
        <f>Table1[[#This Row],[Price]]*Table1[[#This Row],[Quantity]]</f>
        <v>2010</v>
      </c>
      <c r="N146" s="12" t="str" cm="1">
        <f t="array" ref="N146">_xlfn.IFS(Table1[[#This Row],[Revenue]]&lt;=3267,"Low Sales",Table1[[#This Row],[Revenue]]&lt;=6534,"Fair Sales",Table1[[#This Row],[Revenue]]&gt;6534,"High Sales")</f>
        <v>Low Sales</v>
      </c>
    </row>
    <row r="147" spans="1:14" x14ac:dyDescent="0.25">
      <c r="A147" s="9">
        <v>10602</v>
      </c>
      <c r="B147" s="4">
        <v>44902</v>
      </c>
      <c r="C147" s="4" t="str">
        <f>TEXT(Table1[[#This Row],[Date]],"mmmm")</f>
        <v>December</v>
      </c>
      <c r="D147" s="4" t="str">
        <f>TEXT(Table1[[#This Row],[Date]],"dddd")</f>
        <v>Wednesday</v>
      </c>
      <c r="E147" t="s">
        <v>8</v>
      </c>
      <c r="F147" s="11">
        <v>4</v>
      </c>
      <c r="G147">
        <v>630</v>
      </c>
      <c r="H147" s="8" t="s">
        <v>9</v>
      </c>
      <c r="I147" s="8" t="s">
        <v>36</v>
      </c>
      <c r="J147" t="s">
        <v>37</v>
      </c>
      <c r="K147" t="s">
        <v>12</v>
      </c>
      <c r="L147" t="str" cm="1">
        <f t="array" ref="L147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47" s="12">
        <f>Table1[[#This Row],[Price]]*Table1[[#This Row],[Quantity]]</f>
        <v>2520</v>
      </c>
      <c r="N147" s="12" t="str" cm="1">
        <f t="array" ref="N147">_xlfn.IFS(Table1[[#This Row],[Revenue]]&lt;=3267,"Low Sales",Table1[[#This Row],[Revenue]]&lt;=6534,"Fair Sales",Table1[[#This Row],[Revenue]]&gt;6534,"High Sales")</f>
        <v>Low Sales</v>
      </c>
    </row>
    <row r="148" spans="1:14" x14ac:dyDescent="0.25">
      <c r="A148" s="9">
        <v>10603</v>
      </c>
      <c r="B148" s="4">
        <v>44902</v>
      </c>
      <c r="C148" s="4" t="str">
        <f>TEXT(Table1[[#This Row],[Date]],"mmmm")</f>
        <v>December</v>
      </c>
      <c r="D148" s="4" t="str">
        <f>TEXT(Table1[[#This Row],[Date]],"dddd")</f>
        <v>Wednesday</v>
      </c>
      <c r="E148" t="s">
        <v>13</v>
      </c>
      <c r="F148" s="11">
        <v>3</v>
      </c>
      <c r="G148">
        <v>678</v>
      </c>
      <c r="H148" s="8" t="s">
        <v>9</v>
      </c>
      <c r="I148" s="8" t="s">
        <v>36</v>
      </c>
      <c r="J148" t="s">
        <v>37</v>
      </c>
      <c r="K148" t="s">
        <v>12</v>
      </c>
      <c r="L148" t="str" cm="1">
        <f t="array" ref="L148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48" s="12">
        <f>Table1[[#This Row],[Price]]*Table1[[#This Row],[Quantity]]</f>
        <v>2034</v>
      </c>
      <c r="N148" s="12" t="str" cm="1">
        <f t="array" ref="N148">_xlfn.IFS(Table1[[#This Row],[Revenue]]&lt;=3267,"Low Sales",Table1[[#This Row],[Revenue]]&lt;=6534,"Fair Sales",Table1[[#This Row],[Revenue]]&gt;6534,"High Sales")</f>
        <v>Low Sales</v>
      </c>
    </row>
    <row r="149" spans="1:14" x14ac:dyDescent="0.25">
      <c r="A149" s="9">
        <v>10604</v>
      </c>
      <c r="B149" s="4">
        <v>44902</v>
      </c>
      <c r="C149" s="4" t="str">
        <f>TEXT(Table1[[#This Row],[Date]],"mmmm")</f>
        <v>December</v>
      </c>
      <c r="D149" s="4" t="str">
        <f>TEXT(Table1[[#This Row],[Date]],"dddd")</f>
        <v>Wednesday</v>
      </c>
      <c r="E149" t="s">
        <v>16</v>
      </c>
      <c r="F149" s="11">
        <v>5</v>
      </c>
      <c r="G149">
        <v>200</v>
      </c>
      <c r="H149" s="8" t="s">
        <v>9</v>
      </c>
      <c r="I149" s="8" t="s">
        <v>36</v>
      </c>
      <c r="J149" t="s">
        <v>37</v>
      </c>
      <c r="K149" t="s">
        <v>12</v>
      </c>
      <c r="L149" t="str" cm="1">
        <f t="array" ref="L149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49" s="12">
        <f>Table1[[#This Row],[Price]]*Table1[[#This Row],[Quantity]]</f>
        <v>1000</v>
      </c>
      <c r="N149" s="12" t="str" cm="1">
        <f t="array" ref="N149">_xlfn.IFS(Table1[[#This Row],[Revenue]]&lt;=3267,"Low Sales",Table1[[#This Row],[Revenue]]&lt;=6534,"Fair Sales",Table1[[#This Row],[Revenue]]&gt;6534,"High Sales")</f>
        <v>Low Sales</v>
      </c>
    </row>
    <row r="150" spans="1:14" x14ac:dyDescent="0.25">
      <c r="A150" s="9">
        <v>10605</v>
      </c>
      <c r="B150" s="4">
        <v>44903</v>
      </c>
      <c r="C150" s="4" t="str">
        <f>TEXT(Table1[[#This Row],[Date]],"mmmm")</f>
        <v>December</v>
      </c>
      <c r="D150" s="4" t="str">
        <f>TEXT(Table1[[#This Row],[Date]],"dddd")</f>
        <v>Thursday</v>
      </c>
      <c r="E150" t="s">
        <v>20</v>
      </c>
      <c r="F150" s="11">
        <v>13</v>
      </c>
      <c r="G150">
        <v>539</v>
      </c>
      <c r="H150" s="8" t="s">
        <v>9</v>
      </c>
      <c r="I150" s="8" t="s">
        <v>36</v>
      </c>
      <c r="J150" t="s">
        <v>37</v>
      </c>
      <c r="K150" t="s">
        <v>12</v>
      </c>
      <c r="L150" t="str" cm="1">
        <f t="array" ref="L150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50" s="12">
        <f>Table1[[#This Row],[Price]]*Table1[[#This Row],[Quantity]]</f>
        <v>7007</v>
      </c>
      <c r="N150" s="12" t="str" cm="1">
        <f t="array" ref="N150">_xlfn.IFS(Table1[[#This Row],[Revenue]]&lt;=3267,"Low Sales",Table1[[#This Row],[Revenue]]&lt;=6534,"Fair Sales",Table1[[#This Row],[Revenue]]&gt;6534,"High Sales")</f>
        <v>High Sales</v>
      </c>
    </row>
    <row r="151" spans="1:14" x14ac:dyDescent="0.25">
      <c r="A151" s="9">
        <v>10606</v>
      </c>
      <c r="B151" s="4">
        <v>44903</v>
      </c>
      <c r="C151" s="4" t="str">
        <f>TEXT(Table1[[#This Row],[Date]],"mmmm")</f>
        <v>December</v>
      </c>
      <c r="D151" s="4" t="str">
        <f>TEXT(Table1[[#This Row],[Date]],"dddd")</f>
        <v>Thursday</v>
      </c>
      <c r="E151" t="s">
        <v>24</v>
      </c>
      <c r="F151" s="11">
        <v>10</v>
      </c>
      <c r="G151">
        <v>201</v>
      </c>
      <c r="H151" s="8" t="s">
        <v>9</v>
      </c>
      <c r="I151" s="8" t="s">
        <v>36</v>
      </c>
      <c r="J151" t="s">
        <v>37</v>
      </c>
      <c r="K151" t="s">
        <v>12</v>
      </c>
      <c r="L151" t="str" cm="1">
        <f t="array" ref="L151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51" s="12">
        <f>Table1[[#This Row],[Price]]*Table1[[#This Row],[Quantity]]</f>
        <v>2010</v>
      </c>
      <c r="N151" s="12" t="str" cm="1">
        <f t="array" ref="N151">_xlfn.IFS(Table1[[#This Row],[Revenue]]&lt;=3267,"Low Sales",Table1[[#This Row],[Revenue]]&lt;=6534,"Fair Sales",Table1[[#This Row],[Revenue]]&gt;6534,"High Sales")</f>
        <v>Low Sales</v>
      </c>
    </row>
    <row r="152" spans="1:14" x14ac:dyDescent="0.25">
      <c r="A152" s="9">
        <v>10607</v>
      </c>
      <c r="B152" s="4">
        <v>44903</v>
      </c>
      <c r="C152" s="4" t="str">
        <f>TEXT(Table1[[#This Row],[Date]],"mmmm")</f>
        <v>December</v>
      </c>
      <c r="D152" s="4" t="str">
        <f>TEXT(Table1[[#This Row],[Date]],"dddd")</f>
        <v>Thursday</v>
      </c>
      <c r="E152" t="s">
        <v>8</v>
      </c>
      <c r="F152" s="11">
        <v>4</v>
      </c>
      <c r="G152">
        <v>630</v>
      </c>
      <c r="H152" s="8" t="s">
        <v>9</v>
      </c>
      <c r="I152" s="8" t="s">
        <v>36</v>
      </c>
      <c r="J152" t="s">
        <v>37</v>
      </c>
      <c r="K152" t="s">
        <v>12</v>
      </c>
      <c r="L152" t="str" cm="1">
        <f t="array" ref="L152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52" s="12">
        <f>Table1[[#This Row],[Price]]*Table1[[#This Row],[Quantity]]</f>
        <v>2520</v>
      </c>
      <c r="N152" s="12" t="str" cm="1">
        <f t="array" ref="N152">_xlfn.IFS(Table1[[#This Row],[Revenue]]&lt;=3267,"Low Sales",Table1[[#This Row],[Revenue]]&lt;=6534,"Fair Sales",Table1[[#This Row],[Revenue]]&gt;6534,"High Sales")</f>
        <v>Low Sales</v>
      </c>
    </row>
    <row r="153" spans="1:14" x14ac:dyDescent="0.25">
      <c r="A153" s="9">
        <v>10608</v>
      </c>
      <c r="B153" s="4">
        <v>44903</v>
      </c>
      <c r="C153" s="4" t="str">
        <f>TEXT(Table1[[#This Row],[Date]],"mmmm")</f>
        <v>December</v>
      </c>
      <c r="D153" s="4" t="str">
        <f>TEXT(Table1[[#This Row],[Date]],"dddd")</f>
        <v>Thursday</v>
      </c>
      <c r="E153" t="s">
        <v>13</v>
      </c>
      <c r="F153" s="11">
        <v>3</v>
      </c>
      <c r="G153">
        <v>678</v>
      </c>
      <c r="H153" s="8" t="s">
        <v>9</v>
      </c>
      <c r="I153" s="8" t="s">
        <v>10</v>
      </c>
      <c r="J153" t="s">
        <v>37</v>
      </c>
      <c r="K153" t="s">
        <v>12</v>
      </c>
      <c r="L153" t="str" cm="1">
        <f t="array" ref="L153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53" s="12">
        <f>Table1[[#This Row],[Price]]*Table1[[#This Row],[Quantity]]</f>
        <v>2034</v>
      </c>
      <c r="N153" s="12" t="str" cm="1">
        <f t="array" ref="N153">_xlfn.IFS(Table1[[#This Row],[Revenue]]&lt;=3267,"Low Sales",Table1[[#This Row],[Revenue]]&lt;=6534,"Fair Sales",Table1[[#This Row],[Revenue]]&gt;6534,"High Sales")</f>
        <v>Low Sales</v>
      </c>
    </row>
    <row r="154" spans="1:14" x14ac:dyDescent="0.25">
      <c r="A154" s="9">
        <v>10609</v>
      </c>
      <c r="B154" s="4">
        <v>44903</v>
      </c>
      <c r="C154" s="4" t="str">
        <f>TEXT(Table1[[#This Row],[Date]],"mmmm")</f>
        <v>December</v>
      </c>
      <c r="D154" s="4" t="str">
        <f>TEXT(Table1[[#This Row],[Date]],"dddd")</f>
        <v>Thursday</v>
      </c>
      <c r="E154" t="s">
        <v>16</v>
      </c>
      <c r="F154" s="11">
        <v>5</v>
      </c>
      <c r="G154">
        <v>200</v>
      </c>
      <c r="H154" s="8" t="s">
        <v>9</v>
      </c>
      <c r="I154" s="8" t="s">
        <v>10</v>
      </c>
      <c r="J154" t="s">
        <v>37</v>
      </c>
      <c r="K154" t="s">
        <v>12</v>
      </c>
      <c r="L154" t="str" cm="1">
        <f t="array" ref="L154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54" s="12">
        <f>Table1[[#This Row],[Price]]*Table1[[#This Row],[Quantity]]</f>
        <v>1000</v>
      </c>
      <c r="N154" s="12" t="str" cm="1">
        <f t="array" ref="N154">_xlfn.IFS(Table1[[#This Row],[Revenue]]&lt;=3267,"Low Sales",Table1[[#This Row],[Revenue]]&lt;=6534,"Fair Sales",Table1[[#This Row],[Revenue]]&gt;6534,"High Sales")</f>
        <v>Low Sales</v>
      </c>
    </row>
    <row r="155" spans="1:14" x14ac:dyDescent="0.25">
      <c r="A155" s="9">
        <v>10610</v>
      </c>
      <c r="B155" s="4">
        <v>44904</v>
      </c>
      <c r="C155" s="4" t="str">
        <f>TEXT(Table1[[#This Row],[Date]],"mmmm")</f>
        <v>December</v>
      </c>
      <c r="D155" s="4" t="str">
        <f>TEXT(Table1[[#This Row],[Date]],"dddd")</f>
        <v>Friday</v>
      </c>
      <c r="E155" t="s">
        <v>20</v>
      </c>
      <c r="F155" s="11">
        <v>13</v>
      </c>
      <c r="G155">
        <v>570</v>
      </c>
      <c r="H155" s="8" t="s">
        <v>9</v>
      </c>
      <c r="I155" s="8" t="s">
        <v>10</v>
      </c>
      <c r="J155" t="s">
        <v>37</v>
      </c>
      <c r="K155" t="s">
        <v>12</v>
      </c>
      <c r="L155" t="str" cm="1">
        <f t="array" ref="L155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55" s="12">
        <f>Table1[[#This Row],[Price]]*Table1[[#This Row],[Quantity]]</f>
        <v>7410</v>
      </c>
      <c r="N155" s="12" t="str" cm="1">
        <f t="array" ref="N155">_xlfn.IFS(Table1[[#This Row],[Revenue]]&lt;=3267,"Low Sales",Table1[[#This Row],[Revenue]]&lt;=6534,"Fair Sales",Table1[[#This Row],[Revenue]]&gt;6534,"High Sales")</f>
        <v>High Sales</v>
      </c>
    </row>
    <row r="156" spans="1:14" x14ac:dyDescent="0.25">
      <c r="A156" s="9">
        <v>10611</v>
      </c>
      <c r="B156" s="4">
        <v>44904</v>
      </c>
      <c r="C156" s="4" t="str">
        <f>TEXT(Table1[[#This Row],[Date]],"mmmm")</f>
        <v>December</v>
      </c>
      <c r="D156" s="4" t="str">
        <f>TEXT(Table1[[#This Row],[Date]],"dddd")</f>
        <v>Friday</v>
      </c>
      <c r="E156" t="s">
        <v>24</v>
      </c>
      <c r="F156" s="11">
        <v>10</v>
      </c>
      <c r="G156">
        <v>201</v>
      </c>
      <c r="H156" s="8" t="s">
        <v>9</v>
      </c>
      <c r="I156" s="8" t="s">
        <v>10</v>
      </c>
      <c r="J156" t="s">
        <v>37</v>
      </c>
      <c r="K156" t="s">
        <v>12</v>
      </c>
      <c r="L156" t="str" cm="1">
        <f t="array" ref="L156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56" s="12">
        <f>Table1[[#This Row],[Price]]*Table1[[#This Row],[Quantity]]</f>
        <v>2010</v>
      </c>
      <c r="N156" s="12" t="str" cm="1">
        <f t="array" ref="N156">_xlfn.IFS(Table1[[#This Row],[Revenue]]&lt;=3267,"Low Sales",Table1[[#This Row],[Revenue]]&lt;=6534,"Fair Sales",Table1[[#This Row],[Revenue]]&gt;6534,"High Sales")</f>
        <v>Low Sales</v>
      </c>
    </row>
    <row r="157" spans="1:14" x14ac:dyDescent="0.25">
      <c r="A157" s="9">
        <v>10612</v>
      </c>
      <c r="B157" s="4">
        <v>44904</v>
      </c>
      <c r="C157" s="4" t="str">
        <f>TEXT(Table1[[#This Row],[Date]],"mmmm")</f>
        <v>December</v>
      </c>
      <c r="D157" s="4" t="str">
        <f>TEXT(Table1[[#This Row],[Date]],"dddd")</f>
        <v>Friday</v>
      </c>
      <c r="E157" t="s">
        <v>8</v>
      </c>
      <c r="F157" s="11">
        <v>4</v>
      </c>
      <c r="G157">
        <v>630</v>
      </c>
      <c r="H157" s="8" t="s">
        <v>9</v>
      </c>
      <c r="I157" s="8" t="s">
        <v>10</v>
      </c>
      <c r="J157" t="s">
        <v>37</v>
      </c>
      <c r="K157" t="s">
        <v>12</v>
      </c>
      <c r="L157" t="str" cm="1">
        <f t="array" ref="L157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57" s="12">
        <f>Table1[[#This Row],[Price]]*Table1[[#This Row],[Quantity]]</f>
        <v>2520</v>
      </c>
      <c r="N157" s="12" t="str" cm="1">
        <f t="array" ref="N157">_xlfn.IFS(Table1[[#This Row],[Revenue]]&lt;=3267,"Low Sales",Table1[[#This Row],[Revenue]]&lt;=6534,"Fair Sales",Table1[[#This Row],[Revenue]]&gt;6534,"High Sales")</f>
        <v>Low Sales</v>
      </c>
    </row>
    <row r="158" spans="1:14" x14ac:dyDescent="0.25">
      <c r="A158" s="9">
        <v>10613</v>
      </c>
      <c r="B158" s="4">
        <v>44904</v>
      </c>
      <c r="C158" s="4" t="str">
        <f>TEXT(Table1[[#This Row],[Date]],"mmmm")</f>
        <v>December</v>
      </c>
      <c r="D158" s="4" t="str">
        <f>TEXT(Table1[[#This Row],[Date]],"dddd")</f>
        <v>Friday</v>
      </c>
      <c r="E158" t="s">
        <v>13</v>
      </c>
      <c r="F158" s="11">
        <v>3</v>
      </c>
      <c r="G158">
        <v>678</v>
      </c>
      <c r="H158" s="8" t="s">
        <v>9</v>
      </c>
      <c r="I158" s="8" t="s">
        <v>10</v>
      </c>
      <c r="J158" t="s">
        <v>37</v>
      </c>
      <c r="K158" t="s">
        <v>12</v>
      </c>
      <c r="L158" t="str" cm="1">
        <f t="array" ref="L158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58" s="12">
        <f>Table1[[#This Row],[Price]]*Table1[[#This Row],[Quantity]]</f>
        <v>2034</v>
      </c>
      <c r="N158" s="12" t="str" cm="1">
        <f t="array" ref="N158">_xlfn.IFS(Table1[[#This Row],[Revenue]]&lt;=3267,"Low Sales",Table1[[#This Row],[Revenue]]&lt;=6534,"Fair Sales",Table1[[#This Row],[Revenue]]&gt;6534,"High Sales")</f>
        <v>Low Sales</v>
      </c>
    </row>
    <row r="159" spans="1:14" x14ac:dyDescent="0.25">
      <c r="A159" s="9">
        <v>10614</v>
      </c>
      <c r="B159" s="4">
        <v>44904</v>
      </c>
      <c r="C159" s="4" t="str">
        <f>TEXT(Table1[[#This Row],[Date]],"mmmm")</f>
        <v>December</v>
      </c>
      <c r="D159" s="4" t="str">
        <f>TEXT(Table1[[#This Row],[Date]],"dddd")</f>
        <v>Friday</v>
      </c>
      <c r="E159" t="s">
        <v>16</v>
      </c>
      <c r="F159" s="11">
        <v>5</v>
      </c>
      <c r="G159">
        <v>200</v>
      </c>
      <c r="H159" s="8" t="s">
        <v>9</v>
      </c>
      <c r="I159" s="8" t="s">
        <v>10</v>
      </c>
      <c r="J159" t="s">
        <v>37</v>
      </c>
      <c r="K159" t="s">
        <v>12</v>
      </c>
      <c r="L159" t="str" cm="1">
        <f t="array" ref="L159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59" s="12">
        <f>Table1[[#This Row],[Price]]*Table1[[#This Row],[Quantity]]</f>
        <v>1000</v>
      </c>
      <c r="N159" s="12" t="str" cm="1">
        <f t="array" ref="N159">_xlfn.IFS(Table1[[#This Row],[Revenue]]&lt;=3267,"Low Sales",Table1[[#This Row],[Revenue]]&lt;=6534,"Fair Sales",Table1[[#This Row],[Revenue]]&gt;6534,"High Sales")</f>
        <v>Low Sales</v>
      </c>
    </row>
    <row r="160" spans="1:14" x14ac:dyDescent="0.25">
      <c r="A160" s="9">
        <v>10615</v>
      </c>
      <c r="B160" s="4">
        <v>44905</v>
      </c>
      <c r="C160" s="4" t="str">
        <f>TEXT(Table1[[#This Row],[Date]],"mmmm")</f>
        <v>December</v>
      </c>
      <c r="D160" s="4" t="str">
        <f>TEXT(Table1[[#This Row],[Date]],"dddd")</f>
        <v>Saturday</v>
      </c>
      <c r="E160" t="s">
        <v>20</v>
      </c>
      <c r="F160" s="11">
        <v>13</v>
      </c>
      <c r="G160">
        <v>570</v>
      </c>
      <c r="H160" s="8" t="s">
        <v>9</v>
      </c>
      <c r="I160" s="8" t="s">
        <v>10</v>
      </c>
      <c r="J160" t="s">
        <v>37</v>
      </c>
      <c r="K160" t="s">
        <v>12</v>
      </c>
      <c r="L160" t="str" cm="1">
        <f t="array" ref="L160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60" s="12">
        <f>Table1[[#This Row],[Price]]*Table1[[#This Row],[Quantity]]</f>
        <v>7410</v>
      </c>
      <c r="N160" s="12" t="str" cm="1">
        <f t="array" ref="N160">_xlfn.IFS(Table1[[#This Row],[Revenue]]&lt;=3267,"Low Sales",Table1[[#This Row],[Revenue]]&lt;=6534,"Fair Sales",Table1[[#This Row],[Revenue]]&gt;6534,"High Sales")</f>
        <v>High Sales</v>
      </c>
    </row>
    <row r="161" spans="1:14" x14ac:dyDescent="0.25">
      <c r="A161" s="9">
        <v>10616</v>
      </c>
      <c r="B161" s="4">
        <v>44905</v>
      </c>
      <c r="C161" s="4" t="str">
        <f>TEXT(Table1[[#This Row],[Date]],"mmmm")</f>
        <v>December</v>
      </c>
      <c r="D161" s="4" t="str">
        <f>TEXT(Table1[[#This Row],[Date]],"dddd")</f>
        <v>Saturday</v>
      </c>
      <c r="E161" t="s">
        <v>24</v>
      </c>
      <c r="F161" s="11">
        <v>10</v>
      </c>
      <c r="G161">
        <v>201</v>
      </c>
      <c r="H161" s="8" t="s">
        <v>9</v>
      </c>
      <c r="I161" s="8" t="s">
        <v>10</v>
      </c>
      <c r="J161" t="s">
        <v>37</v>
      </c>
      <c r="K161" t="s">
        <v>12</v>
      </c>
      <c r="L161" t="str" cm="1">
        <f t="array" ref="L161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61" s="12">
        <f>Table1[[#This Row],[Price]]*Table1[[#This Row],[Quantity]]</f>
        <v>2010</v>
      </c>
      <c r="N161" s="12" t="str" cm="1">
        <f t="array" ref="N161">_xlfn.IFS(Table1[[#This Row],[Revenue]]&lt;=3267,"Low Sales",Table1[[#This Row],[Revenue]]&lt;=6534,"Fair Sales",Table1[[#This Row],[Revenue]]&gt;6534,"High Sales")</f>
        <v>Low Sales</v>
      </c>
    </row>
    <row r="162" spans="1:14" x14ac:dyDescent="0.25">
      <c r="A162" s="9">
        <v>10617</v>
      </c>
      <c r="B162" s="4">
        <v>44905</v>
      </c>
      <c r="C162" s="4" t="str">
        <f>TEXT(Table1[[#This Row],[Date]],"mmmm")</f>
        <v>December</v>
      </c>
      <c r="D162" s="4" t="str">
        <f>TEXT(Table1[[#This Row],[Date]],"dddd")</f>
        <v>Saturday</v>
      </c>
      <c r="E162" t="s">
        <v>8</v>
      </c>
      <c r="F162" s="11">
        <v>4</v>
      </c>
      <c r="G162">
        <v>630</v>
      </c>
      <c r="H162" s="8" t="s">
        <v>9</v>
      </c>
      <c r="I162" s="8" t="s">
        <v>10</v>
      </c>
      <c r="J162" t="s">
        <v>37</v>
      </c>
      <c r="K162" t="s">
        <v>12</v>
      </c>
      <c r="L162" t="str" cm="1">
        <f t="array" ref="L162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62" s="12">
        <f>Table1[[#This Row],[Price]]*Table1[[#This Row],[Quantity]]</f>
        <v>2520</v>
      </c>
      <c r="N162" s="12" t="str" cm="1">
        <f t="array" ref="N162">_xlfn.IFS(Table1[[#This Row],[Revenue]]&lt;=3267,"Low Sales",Table1[[#This Row],[Revenue]]&lt;=6534,"Fair Sales",Table1[[#This Row],[Revenue]]&gt;6534,"High Sales")</f>
        <v>Low Sales</v>
      </c>
    </row>
    <row r="163" spans="1:14" x14ac:dyDescent="0.25">
      <c r="A163" s="9">
        <v>10618</v>
      </c>
      <c r="B163" s="4">
        <v>44905</v>
      </c>
      <c r="C163" s="4" t="str">
        <f>TEXT(Table1[[#This Row],[Date]],"mmmm")</f>
        <v>December</v>
      </c>
      <c r="D163" s="4" t="str">
        <f>TEXT(Table1[[#This Row],[Date]],"dddd")</f>
        <v>Saturday</v>
      </c>
      <c r="E163" t="s">
        <v>13</v>
      </c>
      <c r="F163" s="11">
        <v>3</v>
      </c>
      <c r="G163">
        <v>678</v>
      </c>
      <c r="H163" s="8" t="s">
        <v>9</v>
      </c>
      <c r="I163" s="8" t="s">
        <v>10</v>
      </c>
      <c r="J163" t="s">
        <v>37</v>
      </c>
      <c r="K163" t="s">
        <v>12</v>
      </c>
      <c r="L163" t="str" cm="1">
        <f t="array" ref="L163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63" s="12">
        <f>Table1[[#This Row],[Price]]*Table1[[#This Row],[Quantity]]</f>
        <v>2034</v>
      </c>
      <c r="N163" s="12" t="str" cm="1">
        <f t="array" ref="N163">_xlfn.IFS(Table1[[#This Row],[Revenue]]&lt;=3267,"Low Sales",Table1[[#This Row],[Revenue]]&lt;=6534,"Fair Sales",Table1[[#This Row],[Revenue]]&gt;6534,"High Sales")</f>
        <v>Low Sales</v>
      </c>
    </row>
    <row r="164" spans="1:14" x14ac:dyDescent="0.25">
      <c r="A164" s="9">
        <v>10619</v>
      </c>
      <c r="B164" s="4">
        <v>44905</v>
      </c>
      <c r="C164" s="4" t="str">
        <f>TEXT(Table1[[#This Row],[Date]],"mmmm")</f>
        <v>December</v>
      </c>
      <c r="D164" s="4" t="str">
        <f>TEXT(Table1[[#This Row],[Date]],"dddd")</f>
        <v>Saturday</v>
      </c>
      <c r="E164" t="s">
        <v>16</v>
      </c>
      <c r="F164" s="11">
        <v>5</v>
      </c>
      <c r="G164">
        <v>200</v>
      </c>
      <c r="H164" s="8" t="s">
        <v>9</v>
      </c>
      <c r="I164" s="8" t="s">
        <v>10</v>
      </c>
      <c r="J164" t="s">
        <v>37</v>
      </c>
      <c r="K164" t="s">
        <v>12</v>
      </c>
      <c r="L164" t="str" cm="1">
        <f t="array" ref="L164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64" s="12">
        <f>Table1[[#This Row],[Price]]*Table1[[#This Row],[Quantity]]</f>
        <v>1000</v>
      </c>
      <c r="N164" s="12" t="str" cm="1">
        <f t="array" ref="N164">_xlfn.IFS(Table1[[#This Row],[Revenue]]&lt;=3267,"Low Sales",Table1[[#This Row],[Revenue]]&lt;=6534,"Fair Sales",Table1[[#This Row],[Revenue]]&gt;6534,"High Sales")</f>
        <v>Low Sales</v>
      </c>
    </row>
    <row r="165" spans="1:14" x14ac:dyDescent="0.25">
      <c r="A165" s="9">
        <v>10620</v>
      </c>
      <c r="B165" s="4">
        <v>44906</v>
      </c>
      <c r="C165" s="4" t="str">
        <f>TEXT(Table1[[#This Row],[Date]],"mmmm")</f>
        <v>December</v>
      </c>
      <c r="D165" s="4" t="str">
        <f>TEXT(Table1[[#This Row],[Date]],"dddd")</f>
        <v>Sunday</v>
      </c>
      <c r="E165" t="s">
        <v>20</v>
      </c>
      <c r="F165" s="11">
        <v>13</v>
      </c>
      <c r="G165">
        <v>585</v>
      </c>
      <c r="H165" s="8" t="s">
        <v>9</v>
      </c>
      <c r="I165" s="8" t="s">
        <v>10</v>
      </c>
      <c r="J165" t="s">
        <v>37</v>
      </c>
      <c r="K165" t="s">
        <v>12</v>
      </c>
      <c r="L165" t="str" cm="1">
        <f t="array" ref="L165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65" s="12">
        <f>Table1[[#This Row],[Price]]*Table1[[#This Row],[Quantity]]</f>
        <v>7605</v>
      </c>
      <c r="N165" s="12" t="str" cm="1">
        <f t="array" ref="N165">_xlfn.IFS(Table1[[#This Row],[Revenue]]&lt;=3267,"Low Sales",Table1[[#This Row],[Revenue]]&lt;=6534,"Fair Sales",Table1[[#This Row],[Revenue]]&gt;6534,"High Sales")</f>
        <v>High Sales</v>
      </c>
    </row>
    <row r="166" spans="1:14" x14ac:dyDescent="0.25">
      <c r="A166" s="9">
        <v>10621</v>
      </c>
      <c r="B166" s="4">
        <v>44906</v>
      </c>
      <c r="C166" s="4" t="str">
        <f>TEXT(Table1[[#This Row],[Date]],"mmmm")</f>
        <v>December</v>
      </c>
      <c r="D166" s="4" t="str">
        <f>TEXT(Table1[[#This Row],[Date]],"dddd")</f>
        <v>Sunday</v>
      </c>
      <c r="E166" t="s">
        <v>24</v>
      </c>
      <c r="F166" s="11">
        <v>10</v>
      </c>
      <c r="G166">
        <v>201</v>
      </c>
      <c r="H166" s="8" t="s">
        <v>9</v>
      </c>
      <c r="I166" s="8" t="s">
        <v>10</v>
      </c>
      <c r="J166" t="s">
        <v>37</v>
      </c>
      <c r="K166" t="s">
        <v>12</v>
      </c>
      <c r="L166" t="str" cm="1">
        <f t="array" ref="L166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66" s="12">
        <f>Table1[[#This Row],[Price]]*Table1[[#This Row],[Quantity]]</f>
        <v>2010</v>
      </c>
      <c r="N166" s="12" t="str" cm="1">
        <f t="array" ref="N166">_xlfn.IFS(Table1[[#This Row],[Revenue]]&lt;=3267,"Low Sales",Table1[[#This Row],[Revenue]]&lt;=6534,"Fair Sales",Table1[[#This Row],[Revenue]]&gt;6534,"High Sales")</f>
        <v>Low Sales</v>
      </c>
    </row>
    <row r="167" spans="1:14" x14ac:dyDescent="0.25">
      <c r="A167" s="9">
        <v>10622</v>
      </c>
      <c r="B167" s="4">
        <v>44906</v>
      </c>
      <c r="C167" s="4" t="str">
        <f>TEXT(Table1[[#This Row],[Date]],"mmmm")</f>
        <v>December</v>
      </c>
      <c r="D167" s="4" t="str">
        <f>TEXT(Table1[[#This Row],[Date]],"dddd")</f>
        <v>Sunday</v>
      </c>
      <c r="E167" t="s">
        <v>8</v>
      </c>
      <c r="F167" s="11">
        <v>4</v>
      </c>
      <c r="G167">
        <v>630</v>
      </c>
      <c r="H167" s="8" t="s">
        <v>9</v>
      </c>
      <c r="I167" s="8" t="s">
        <v>10</v>
      </c>
      <c r="J167" t="s">
        <v>37</v>
      </c>
      <c r="K167" t="s">
        <v>12</v>
      </c>
      <c r="L167" t="str" cm="1">
        <f t="array" ref="L167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67" s="12">
        <f>Table1[[#This Row],[Price]]*Table1[[#This Row],[Quantity]]</f>
        <v>2520</v>
      </c>
      <c r="N167" s="12" t="str" cm="1">
        <f t="array" ref="N167">_xlfn.IFS(Table1[[#This Row],[Revenue]]&lt;=3267,"Low Sales",Table1[[#This Row],[Revenue]]&lt;=6534,"Fair Sales",Table1[[#This Row],[Revenue]]&gt;6534,"High Sales")</f>
        <v>Low Sales</v>
      </c>
    </row>
    <row r="168" spans="1:14" x14ac:dyDescent="0.25">
      <c r="A168" s="9">
        <v>10623</v>
      </c>
      <c r="B168" s="4">
        <v>44906</v>
      </c>
      <c r="C168" s="4" t="str">
        <f>TEXT(Table1[[#This Row],[Date]],"mmmm")</f>
        <v>December</v>
      </c>
      <c r="D168" s="4" t="str">
        <f>TEXT(Table1[[#This Row],[Date]],"dddd")</f>
        <v>Sunday</v>
      </c>
      <c r="E168" t="s">
        <v>13</v>
      </c>
      <c r="F168" s="11">
        <v>3</v>
      </c>
      <c r="G168">
        <v>746</v>
      </c>
      <c r="H168" s="8" t="s">
        <v>9</v>
      </c>
      <c r="I168" s="8" t="s">
        <v>10</v>
      </c>
      <c r="J168" t="s">
        <v>37</v>
      </c>
      <c r="K168" t="s">
        <v>12</v>
      </c>
      <c r="L168" t="str" cm="1">
        <f t="array" ref="L168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68" s="12">
        <f>Table1[[#This Row],[Price]]*Table1[[#This Row],[Quantity]]</f>
        <v>2238</v>
      </c>
      <c r="N168" s="12" t="str" cm="1">
        <f t="array" ref="N168">_xlfn.IFS(Table1[[#This Row],[Revenue]]&lt;=3267,"Low Sales",Table1[[#This Row],[Revenue]]&lt;=6534,"Fair Sales",Table1[[#This Row],[Revenue]]&gt;6534,"High Sales")</f>
        <v>Low Sales</v>
      </c>
    </row>
    <row r="169" spans="1:14" x14ac:dyDescent="0.25">
      <c r="A169" s="9">
        <v>10624</v>
      </c>
      <c r="B169" s="4">
        <v>44906</v>
      </c>
      <c r="C169" s="4" t="str">
        <f>TEXT(Table1[[#This Row],[Date]],"mmmm")</f>
        <v>December</v>
      </c>
      <c r="D169" s="4" t="str">
        <f>TEXT(Table1[[#This Row],[Date]],"dddd")</f>
        <v>Sunday</v>
      </c>
      <c r="E169" t="s">
        <v>16</v>
      </c>
      <c r="F169" s="11">
        <v>5</v>
      </c>
      <c r="G169">
        <v>200</v>
      </c>
      <c r="H169" s="8" t="s">
        <v>9</v>
      </c>
      <c r="I169" s="8" t="s">
        <v>10</v>
      </c>
      <c r="J169" t="s">
        <v>37</v>
      </c>
      <c r="K169" t="s">
        <v>12</v>
      </c>
      <c r="L169" t="str" cm="1">
        <f t="array" ref="L169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69" s="12">
        <f>Table1[[#This Row],[Price]]*Table1[[#This Row],[Quantity]]</f>
        <v>1000</v>
      </c>
      <c r="N169" s="12" t="str" cm="1">
        <f t="array" ref="N169">_xlfn.IFS(Table1[[#This Row],[Revenue]]&lt;=3267,"Low Sales",Table1[[#This Row],[Revenue]]&lt;=6534,"Fair Sales",Table1[[#This Row],[Revenue]]&gt;6534,"High Sales")</f>
        <v>Low Sales</v>
      </c>
    </row>
    <row r="170" spans="1:14" x14ac:dyDescent="0.25">
      <c r="A170" s="9">
        <v>10625</v>
      </c>
      <c r="B170" s="4">
        <v>44907</v>
      </c>
      <c r="C170" s="4" t="str">
        <f>TEXT(Table1[[#This Row],[Date]],"mmmm")</f>
        <v>December</v>
      </c>
      <c r="D170" s="4" t="str">
        <f>TEXT(Table1[[#This Row],[Date]],"dddd")</f>
        <v>Monday</v>
      </c>
      <c r="E170" t="s">
        <v>20</v>
      </c>
      <c r="F170" s="11">
        <v>13</v>
      </c>
      <c r="G170">
        <v>570</v>
      </c>
      <c r="H170" s="8" t="s">
        <v>9</v>
      </c>
      <c r="I170" s="8" t="s">
        <v>10</v>
      </c>
      <c r="J170" t="s">
        <v>37</v>
      </c>
      <c r="K170" t="s">
        <v>12</v>
      </c>
      <c r="L170" t="str" cm="1">
        <f t="array" ref="L170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70" s="12">
        <f>Table1[[#This Row],[Price]]*Table1[[#This Row],[Quantity]]</f>
        <v>7410</v>
      </c>
      <c r="N170" s="12" t="str" cm="1">
        <f t="array" ref="N170">_xlfn.IFS(Table1[[#This Row],[Revenue]]&lt;=3267,"Low Sales",Table1[[#This Row],[Revenue]]&lt;=6534,"Fair Sales",Table1[[#This Row],[Revenue]]&gt;6534,"High Sales")</f>
        <v>High Sales</v>
      </c>
    </row>
    <row r="171" spans="1:14" x14ac:dyDescent="0.25">
      <c r="A171" s="9">
        <v>10626</v>
      </c>
      <c r="B171" s="4">
        <v>44907</v>
      </c>
      <c r="C171" s="4" t="str">
        <f>TEXT(Table1[[#This Row],[Date]],"mmmm")</f>
        <v>December</v>
      </c>
      <c r="D171" s="4" t="str">
        <f>TEXT(Table1[[#This Row],[Date]],"dddd")</f>
        <v>Monday</v>
      </c>
      <c r="E171" t="s">
        <v>24</v>
      </c>
      <c r="F171" s="11">
        <v>10</v>
      </c>
      <c r="G171">
        <v>201</v>
      </c>
      <c r="H171" s="8" t="s">
        <v>9</v>
      </c>
      <c r="I171" s="8" t="s">
        <v>10</v>
      </c>
      <c r="J171" t="s">
        <v>37</v>
      </c>
      <c r="K171" t="s">
        <v>12</v>
      </c>
      <c r="L171" t="str" cm="1">
        <f t="array" ref="L171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71" s="12">
        <f>Table1[[#This Row],[Price]]*Table1[[#This Row],[Quantity]]</f>
        <v>2010</v>
      </c>
      <c r="N171" s="12" t="str" cm="1">
        <f t="array" ref="N171">_xlfn.IFS(Table1[[#This Row],[Revenue]]&lt;=3267,"Low Sales",Table1[[#This Row],[Revenue]]&lt;=6534,"Fair Sales",Table1[[#This Row],[Revenue]]&gt;6534,"High Sales")</f>
        <v>Low Sales</v>
      </c>
    </row>
    <row r="172" spans="1:14" x14ac:dyDescent="0.25">
      <c r="A172" s="9">
        <v>10627</v>
      </c>
      <c r="B172" s="4">
        <v>44907</v>
      </c>
      <c r="C172" s="4" t="str">
        <f>TEXT(Table1[[#This Row],[Date]],"mmmm")</f>
        <v>December</v>
      </c>
      <c r="D172" s="4" t="str">
        <f>TEXT(Table1[[#This Row],[Date]],"dddd")</f>
        <v>Monday</v>
      </c>
      <c r="E172" t="s">
        <v>8</v>
      </c>
      <c r="F172" s="11">
        <v>4</v>
      </c>
      <c r="G172">
        <v>630</v>
      </c>
      <c r="H172" s="8" t="s">
        <v>9</v>
      </c>
      <c r="I172" s="8" t="s">
        <v>10</v>
      </c>
      <c r="J172" t="s">
        <v>37</v>
      </c>
      <c r="K172" t="s">
        <v>12</v>
      </c>
      <c r="L172" t="str" cm="1">
        <f t="array" ref="L172">_xlfn.IFS(Table1[[#This Row],[City]]="Berlin","Germany",Table1[[#This Row],[City]]="Lisbon","Portugal",Table1[[#This Row],[City]]="London","United Kingdom",Table1[[#This Row],[City]]="Madrid","Spain",Table1[[#This Row],[City]]="Paris","France")</f>
        <v>United Kingdom</v>
      </c>
      <c r="M172" s="12">
        <f>Table1[[#This Row],[Price]]*Table1[[#This Row],[Quantity]]</f>
        <v>2520</v>
      </c>
      <c r="N172" s="12" t="str" cm="1">
        <f t="array" ref="N172">_xlfn.IFS(Table1[[#This Row],[Revenue]]&lt;=3267,"Low Sales",Table1[[#This Row],[Revenue]]&lt;=6534,"Fair Sales",Table1[[#This Row],[Revenue]]&gt;6534,"High Sales")</f>
        <v>Low Sales</v>
      </c>
    </row>
    <row r="173" spans="1:14" ht="15.75" x14ac:dyDescent="0.25">
      <c r="A173" s="9">
        <v>10628</v>
      </c>
      <c r="B173" s="4">
        <v>44907</v>
      </c>
      <c r="C173" s="4" t="str">
        <f>TEXT(Table1[[#This Row],[Date]],"mmmm")</f>
        <v>December</v>
      </c>
      <c r="D173" s="4" t="str">
        <f>TEXT(Table1[[#This Row],[Date]],"dddd")</f>
        <v>Monday</v>
      </c>
      <c r="E173" t="s">
        <v>13</v>
      </c>
      <c r="F173" s="11">
        <v>3</v>
      </c>
      <c r="G173">
        <v>678</v>
      </c>
      <c r="H173" s="8" t="s">
        <v>9</v>
      </c>
      <c r="I173" s="8" t="s">
        <v>10</v>
      </c>
      <c r="J173" s="7" t="s">
        <v>34</v>
      </c>
      <c r="K173" t="s">
        <v>19</v>
      </c>
      <c r="L173" t="str" cm="1">
        <f t="array" ref="L173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173" s="12">
        <f>Table1[[#This Row],[Price]]*Table1[[#This Row],[Quantity]]</f>
        <v>2034</v>
      </c>
      <c r="N173" s="12" t="str" cm="1">
        <f t="array" ref="N173">_xlfn.IFS(Table1[[#This Row],[Revenue]]&lt;=3267,"Low Sales",Table1[[#This Row],[Revenue]]&lt;=6534,"Fair Sales",Table1[[#This Row],[Revenue]]&gt;6534,"High Sales")</f>
        <v>Low Sales</v>
      </c>
    </row>
    <row r="174" spans="1:14" ht="15.75" x14ac:dyDescent="0.25">
      <c r="A174" s="9">
        <v>10629</v>
      </c>
      <c r="B174" s="4">
        <v>44907</v>
      </c>
      <c r="C174" s="4" t="str">
        <f>TEXT(Table1[[#This Row],[Date]],"mmmm")</f>
        <v>December</v>
      </c>
      <c r="D174" s="4" t="str">
        <f>TEXT(Table1[[#This Row],[Date]],"dddd")</f>
        <v>Monday</v>
      </c>
      <c r="E174" t="s">
        <v>16</v>
      </c>
      <c r="F174" s="11">
        <v>5</v>
      </c>
      <c r="G174">
        <v>200</v>
      </c>
      <c r="H174" s="8" t="s">
        <v>9</v>
      </c>
      <c r="I174" s="8" t="s">
        <v>10</v>
      </c>
      <c r="J174" s="7" t="s">
        <v>34</v>
      </c>
      <c r="K174" t="s">
        <v>19</v>
      </c>
      <c r="L174" t="str" cm="1">
        <f t="array" ref="L174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174" s="12">
        <f>Table1[[#This Row],[Price]]*Table1[[#This Row],[Quantity]]</f>
        <v>1000</v>
      </c>
      <c r="N174" s="12" t="str" cm="1">
        <f t="array" ref="N174">_xlfn.IFS(Table1[[#This Row],[Revenue]]&lt;=3267,"Low Sales",Table1[[#This Row],[Revenue]]&lt;=6534,"Fair Sales",Table1[[#This Row],[Revenue]]&gt;6534,"High Sales")</f>
        <v>Low Sales</v>
      </c>
    </row>
    <row r="175" spans="1:14" ht="15.75" x14ac:dyDescent="0.25">
      <c r="A175" s="9">
        <v>10630</v>
      </c>
      <c r="B175" s="4">
        <v>44908</v>
      </c>
      <c r="C175" s="4" t="str">
        <f>TEXT(Table1[[#This Row],[Date]],"mmmm")</f>
        <v>December</v>
      </c>
      <c r="D175" s="4" t="str">
        <f>TEXT(Table1[[#This Row],[Date]],"dddd")</f>
        <v>Tuesday</v>
      </c>
      <c r="E175" t="s">
        <v>20</v>
      </c>
      <c r="F175" s="11">
        <v>13</v>
      </c>
      <c r="G175">
        <v>570</v>
      </c>
      <c r="H175" s="8" t="s">
        <v>9</v>
      </c>
      <c r="I175" s="8" t="s">
        <v>36</v>
      </c>
      <c r="J175" s="7" t="s">
        <v>34</v>
      </c>
      <c r="K175" t="s">
        <v>19</v>
      </c>
      <c r="L175" t="str" cm="1">
        <f t="array" ref="L175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175" s="12">
        <f>Table1[[#This Row],[Price]]*Table1[[#This Row],[Quantity]]</f>
        <v>7410</v>
      </c>
      <c r="N175" s="12" t="str" cm="1">
        <f t="array" ref="N175">_xlfn.IFS(Table1[[#This Row],[Revenue]]&lt;=3267,"Low Sales",Table1[[#This Row],[Revenue]]&lt;=6534,"Fair Sales",Table1[[#This Row],[Revenue]]&gt;6534,"High Sales")</f>
        <v>High Sales</v>
      </c>
    </row>
    <row r="176" spans="1:14" ht="15.75" x14ac:dyDescent="0.25">
      <c r="A176" s="9">
        <v>10631</v>
      </c>
      <c r="B176" s="4">
        <v>44908</v>
      </c>
      <c r="C176" s="4" t="str">
        <f>TEXT(Table1[[#This Row],[Date]],"mmmm")</f>
        <v>December</v>
      </c>
      <c r="D176" s="4" t="str">
        <f>TEXT(Table1[[#This Row],[Date]],"dddd")</f>
        <v>Tuesday</v>
      </c>
      <c r="E176" t="s">
        <v>24</v>
      </c>
      <c r="F176" s="11">
        <v>10</v>
      </c>
      <c r="G176">
        <v>201</v>
      </c>
      <c r="H176" s="8" t="s">
        <v>9</v>
      </c>
      <c r="I176" s="8" t="s">
        <v>10</v>
      </c>
      <c r="J176" s="7" t="s">
        <v>34</v>
      </c>
      <c r="K176" t="s">
        <v>19</v>
      </c>
      <c r="L176" t="str" cm="1">
        <f t="array" ref="L176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176" s="12">
        <f>Table1[[#This Row],[Price]]*Table1[[#This Row],[Quantity]]</f>
        <v>2010</v>
      </c>
      <c r="N176" s="12" t="str" cm="1">
        <f t="array" ref="N176">_xlfn.IFS(Table1[[#This Row],[Revenue]]&lt;=3267,"Low Sales",Table1[[#This Row],[Revenue]]&lt;=6534,"Fair Sales",Table1[[#This Row],[Revenue]]&gt;6534,"High Sales")</f>
        <v>Low Sales</v>
      </c>
    </row>
    <row r="177" spans="1:14" ht="15.75" x14ac:dyDescent="0.25">
      <c r="A177" s="9">
        <v>10632</v>
      </c>
      <c r="B177" s="4">
        <v>44908</v>
      </c>
      <c r="C177" s="4" t="str">
        <f>TEXT(Table1[[#This Row],[Date]],"mmmm")</f>
        <v>December</v>
      </c>
      <c r="D177" s="4" t="str">
        <f>TEXT(Table1[[#This Row],[Date]],"dddd")</f>
        <v>Tuesday</v>
      </c>
      <c r="E177" t="s">
        <v>8</v>
      </c>
      <c r="F177" s="11">
        <v>4</v>
      </c>
      <c r="G177">
        <v>630</v>
      </c>
      <c r="H177" s="8" t="s">
        <v>9</v>
      </c>
      <c r="I177" s="8" t="s">
        <v>10</v>
      </c>
      <c r="J177" s="7" t="s">
        <v>34</v>
      </c>
      <c r="K177" t="s">
        <v>19</v>
      </c>
      <c r="L177" t="str" cm="1">
        <f t="array" ref="L177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177" s="12">
        <f>Table1[[#This Row],[Price]]*Table1[[#This Row],[Quantity]]</f>
        <v>2520</v>
      </c>
      <c r="N177" s="12" t="str" cm="1">
        <f t="array" ref="N177">_xlfn.IFS(Table1[[#This Row],[Revenue]]&lt;=3267,"Low Sales",Table1[[#This Row],[Revenue]]&lt;=6534,"Fair Sales",Table1[[#This Row],[Revenue]]&gt;6534,"High Sales")</f>
        <v>Low Sales</v>
      </c>
    </row>
    <row r="178" spans="1:14" ht="15.75" x14ac:dyDescent="0.25">
      <c r="A178" s="9">
        <v>10633</v>
      </c>
      <c r="B178" s="4">
        <v>44908</v>
      </c>
      <c r="C178" s="4" t="str">
        <f>TEXT(Table1[[#This Row],[Date]],"mmmm")</f>
        <v>December</v>
      </c>
      <c r="D178" s="4" t="str">
        <f>TEXT(Table1[[#This Row],[Date]],"dddd")</f>
        <v>Tuesday</v>
      </c>
      <c r="E178" t="s">
        <v>13</v>
      </c>
      <c r="F178" s="11">
        <v>3</v>
      </c>
      <c r="G178">
        <v>678</v>
      </c>
      <c r="H178" s="8" t="s">
        <v>9</v>
      </c>
      <c r="I178" s="8" t="s">
        <v>10</v>
      </c>
      <c r="J178" s="7" t="s">
        <v>34</v>
      </c>
      <c r="K178" t="s">
        <v>19</v>
      </c>
      <c r="L178" t="str" cm="1">
        <f t="array" ref="L178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178" s="12">
        <f>Table1[[#This Row],[Price]]*Table1[[#This Row],[Quantity]]</f>
        <v>2034</v>
      </c>
      <c r="N178" s="12" t="str" cm="1">
        <f t="array" ref="N178">_xlfn.IFS(Table1[[#This Row],[Revenue]]&lt;=3267,"Low Sales",Table1[[#This Row],[Revenue]]&lt;=6534,"Fair Sales",Table1[[#This Row],[Revenue]]&gt;6534,"High Sales")</f>
        <v>Low Sales</v>
      </c>
    </row>
    <row r="179" spans="1:14" ht="15.75" x14ac:dyDescent="0.25">
      <c r="A179" s="9">
        <v>10634</v>
      </c>
      <c r="B179" s="4">
        <v>44908</v>
      </c>
      <c r="C179" s="4" t="str">
        <f>TEXT(Table1[[#This Row],[Date]],"mmmm")</f>
        <v>December</v>
      </c>
      <c r="D179" s="4" t="str">
        <f>TEXT(Table1[[#This Row],[Date]],"dddd")</f>
        <v>Tuesday</v>
      </c>
      <c r="E179" t="s">
        <v>16</v>
      </c>
      <c r="F179" s="11">
        <v>5</v>
      </c>
      <c r="G179">
        <v>200</v>
      </c>
      <c r="H179" s="8" t="s">
        <v>9</v>
      </c>
      <c r="I179" s="8" t="s">
        <v>10</v>
      </c>
      <c r="J179" s="7" t="s">
        <v>34</v>
      </c>
      <c r="K179" t="s">
        <v>19</v>
      </c>
      <c r="L179" t="str" cm="1">
        <f t="array" ref="L179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179" s="12">
        <f>Table1[[#This Row],[Price]]*Table1[[#This Row],[Quantity]]</f>
        <v>1000</v>
      </c>
      <c r="N179" s="12" t="str" cm="1">
        <f t="array" ref="N179">_xlfn.IFS(Table1[[#This Row],[Revenue]]&lt;=3267,"Low Sales",Table1[[#This Row],[Revenue]]&lt;=6534,"Fair Sales",Table1[[#This Row],[Revenue]]&gt;6534,"High Sales")</f>
        <v>Low Sales</v>
      </c>
    </row>
    <row r="180" spans="1:14" ht="15.75" x14ac:dyDescent="0.25">
      <c r="A180" s="9">
        <v>10635</v>
      </c>
      <c r="B180" s="4">
        <v>44909</v>
      </c>
      <c r="C180" s="4" t="str">
        <f>TEXT(Table1[[#This Row],[Date]],"mmmm")</f>
        <v>December</v>
      </c>
      <c r="D180" s="4" t="str">
        <f>TEXT(Table1[[#This Row],[Date]],"dddd")</f>
        <v>Wednesday</v>
      </c>
      <c r="E180" t="s">
        <v>20</v>
      </c>
      <c r="F180" s="11">
        <v>13</v>
      </c>
      <c r="G180">
        <v>554</v>
      </c>
      <c r="H180" s="8" t="s">
        <v>9</v>
      </c>
      <c r="I180" s="8" t="s">
        <v>10</v>
      </c>
      <c r="J180" s="7" t="s">
        <v>34</v>
      </c>
      <c r="K180" t="s">
        <v>19</v>
      </c>
      <c r="L180" t="str" cm="1">
        <f t="array" ref="L180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180" s="12">
        <f>Table1[[#This Row],[Price]]*Table1[[#This Row],[Quantity]]</f>
        <v>7202</v>
      </c>
      <c r="N180" s="12" t="str" cm="1">
        <f t="array" ref="N180">_xlfn.IFS(Table1[[#This Row],[Revenue]]&lt;=3267,"Low Sales",Table1[[#This Row],[Revenue]]&lt;=6534,"Fair Sales",Table1[[#This Row],[Revenue]]&gt;6534,"High Sales")</f>
        <v>High Sales</v>
      </c>
    </row>
    <row r="181" spans="1:14" ht="15.75" x14ac:dyDescent="0.25">
      <c r="A181" s="9">
        <v>10636</v>
      </c>
      <c r="B181" s="4">
        <v>44909</v>
      </c>
      <c r="C181" s="4" t="str">
        <f>TEXT(Table1[[#This Row],[Date]],"mmmm")</f>
        <v>December</v>
      </c>
      <c r="D181" s="4" t="str">
        <f>TEXT(Table1[[#This Row],[Date]],"dddd")</f>
        <v>Wednesday</v>
      </c>
      <c r="E181" t="s">
        <v>24</v>
      </c>
      <c r="F181" s="11">
        <v>10</v>
      </c>
      <c r="G181">
        <v>221</v>
      </c>
      <c r="H181" s="8" t="s">
        <v>9</v>
      </c>
      <c r="I181" s="8" t="s">
        <v>10</v>
      </c>
      <c r="J181" s="7" t="s">
        <v>34</v>
      </c>
      <c r="K181" t="s">
        <v>19</v>
      </c>
      <c r="L181" t="str" cm="1">
        <f t="array" ref="L181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181" s="12">
        <f>Table1[[#This Row],[Price]]*Table1[[#This Row],[Quantity]]</f>
        <v>2210</v>
      </c>
      <c r="N181" s="12" t="str" cm="1">
        <f t="array" ref="N181">_xlfn.IFS(Table1[[#This Row],[Revenue]]&lt;=3267,"Low Sales",Table1[[#This Row],[Revenue]]&lt;=6534,"Fair Sales",Table1[[#This Row],[Revenue]]&gt;6534,"High Sales")</f>
        <v>Low Sales</v>
      </c>
    </row>
    <row r="182" spans="1:14" ht="15.75" x14ac:dyDescent="0.25">
      <c r="A182" s="9">
        <v>10637</v>
      </c>
      <c r="B182" s="4">
        <v>44909</v>
      </c>
      <c r="C182" s="4" t="str">
        <f>TEXT(Table1[[#This Row],[Date]],"mmmm")</f>
        <v>December</v>
      </c>
      <c r="D182" s="4" t="str">
        <f>TEXT(Table1[[#This Row],[Date]],"dddd")</f>
        <v>Wednesday</v>
      </c>
      <c r="E182" t="s">
        <v>8</v>
      </c>
      <c r="F182" s="11">
        <v>4</v>
      </c>
      <c r="G182">
        <v>630</v>
      </c>
      <c r="H182" s="8" t="s">
        <v>9</v>
      </c>
      <c r="I182" s="8" t="s">
        <v>10</v>
      </c>
      <c r="J182" s="7" t="s">
        <v>34</v>
      </c>
      <c r="K182" t="s">
        <v>19</v>
      </c>
      <c r="L182" t="str" cm="1">
        <f t="array" ref="L182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182" s="12">
        <f>Table1[[#This Row],[Price]]*Table1[[#This Row],[Quantity]]</f>
        <v>2520</v>
      </c>
      <c r="N182" s="12" t="str" cm="1">
        <f t="array" ref="N182">_xlfn.IFS(Table1[[#This Row],[Revenue]]&lt;=3267,"Low Sales",Table1[[#This Row],[Revenue]]&lt;=6534,"Fair Sales",Table1[[#This Row],[Revenue]]&gt;6534,"High Sales")</f>
        <v>Low Sales</v>
      </c>
    </row>
    <row r="183" spans="1:14" ht="15.75" x14ac:dyDescent="0.25">
      <c r="A183" s="9">
        <v>10638</v>
      </c>
      <c r="B183" s="4">
        <v>44909</v>
      </c>
      <c r="C183" s="4" t="str">
        <f>TEXT(Table1[[#This Row],[Date]],"mmmm")</f>
        <v>December</v>
      </c>
      <c r="D183" s="4" t="str">
        <f>TEXT(Table1[[#This Row],[Date]],"dddd")</f>
        <v>Wednesday</v>
      </c>
      <c r="E183" t="s">
        <v>13</v>
      </c>
      <c r="F183" s="11">
        <v>3</v>
      </c>
      <c r="G183">
        <v>678</v>
      </c>
      <c r="H183" s="8" t="s">
        <v>9</v>
      </c>
      <c r="I183" s="8" t="s">
        <v>10</v>
      </c>
      <c r="J183" s="7" t="s">
        <v>34</v>
      </c>
      <c r="K183" t="s">
        <v>19</v>
      </c>
      <c r="L183" t="str" cm="1">
        <f t="array" ref="L183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183" s="12">
        <f>Table1[[#This Row],[Price]]*Table1[[#This Row],[Quantity]]</f>
        <v>2034</v>
      </c>
      <c r="N183" s="12" t="str" cm="1">
        <f t="array" ref="N183">_xlfn.IFS(Table1[[#This Row],[Revenue]]&lt;=3267,"Low Sales",Table1[[#This Row],[Revenue]]&lt;=6534,"Fair Sales",Table1[[#This Row],[Revenue]]&gt;6534,"High Sales")</f>
        <v>Low Sales</v>
      </c>
    </row>
    <row r="184" spans="1:14" ht="15.75" x14ac:dyDescent="0.25">
      <c r="A184" s="9">
        <v>10639</v>
      </c>
      <c r="B184" s="4">
        <v>44909</v>
      </c>
      <c r="C184" s="4" t="str">
        <f>TEXT(Table1[[#This Row],[Date]],"mmmm")</f>
        <v>December</v>
      </c>
      <c r="D184" s="4" t="str">
        <f>TEXT(Table1[[#This Row],[Date]],"dddd")</f>
        <v>Wednesday</v>
      </c>
      <c r="E184" t="s">
        <v>16</v>
      </c>
      <c r="F184" s="11">
        <v>5</v>
      </c>
      <c r="G184">
        <v>200</v>
      </c>
      <c r="H184" s="8" t="s">
        <v>9</v>
      </c>
      <c r="I184" s="8" t="s">
        <v>10</v>
      </c>
      <c r="J184" s="7" t="s">
        <v>34</v>
      </c>
      <c r="K184" t="s">
        <v>19</v>
      </c>
      <c r="L184" t="str" cm="1">
        <f t="array" ref="L184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184" s="12">
        <f>Table1[[#This Row],[Price]]*Table1[[#This Row],[Quantity]]</f>
        <v>1000</v>
      </c>
      <c r="N184" s="12" t="str" cm="1">
        <f t="array" ref="N184">_xlfn.IFS(Table1[[#This Row],[Revenue]]&lt;=3267,"Low Sales",Table1[[#This Row],[Revenue]]&lt;=6534,"Fair Sales",Table1[[#This Row],[Revenue]]&gt;6534,"High Sales")</f>
        <v>Low Sales</v>
      </c>
    </row>
    <row r="185" spans="1:14" ht="15.75" x14ac:dyDescent="0.25">
      <c r="A185" s="9">
        <v>10640</v>
      </c>
      <c r="B185" s="4">
        <v>44910</v>
      </c>
      <c r="C185" s="4" t="str">
        <f>TEXT(Table1[[#This Row],[Date]],"mmmm")</f>
        <v>December</v>
      </c>
      <c r="D185" s="4" t="str">
        <f>TEXT(Table1[[#This Row],[Date]],"dddd")</f>
        <v>Thursday</v>
      </c>
      <c r="E185" t="s">
        <v>20</v>
      </c>
      <c r="F185" s="11">
        <v>13</v>
      </c>
      <c r="G185">
        <v>539</v>
      </c>
      <c r="H185" s="8" t="s">
        <v>9</v>
      </c>
      <c r="I185" s="8" t="s">
        <v>10</v>
      </c>
      <c r="J185" s="7" t="s">
        <v>34</v>
      </c>
      <c r="K185" t="s">
        <v>19</v>
      </c>
      <c r="L185" t="str" cm="1">
        <f t="array" ref="L185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185" s="12">
        <f>Table1[[#This Row],[Price]]*Table1[[#This Row],[Quantity]]</f>
        <v>7007</v>
      </c>
      <c r="N185" s="12" t="str" cm="1">
        <f t="array" ref="N185">_xlfn.IFS(Table1[[#This Row],[Revenue]]&lt;=3267,"Low Sales",Table1[[#This Row],[Revenue]]&lt;=6534,"Fair Sales",Table1[[#This Row],[Revenue]]&gt;6534,"High Sales")</f>
        <v>High Sales</v>
      </c>
    </row>
    <row r="186" spans="1:14" ht="15.75" x14ac:dyDescent="0.25">
      <c r="A186" s="9">
        <v>10641</v>
      </c>
      <c r="B186" s="4">
        <v>44910</v>
      </c>
      <c r="C186" s="4" t="str">
        <f>TEXT(Table1[[#This Row],[Date]],"mmmm")</f>
        <v>December</v>
      </c>
      <c r="D186" s="4" t="str">
        <f>TEXT(Table1[[#This Row],[Date]],"dddd")</f>
        <v>Thursday</v>
      </c>
      <c r="E186" t="s">
        <v>24</v>
      </c>
      <c r="F186" s="11">
        <v>10</v>
      </c>
      <c r="G186">
        <v>221</v>
      </c>
      <c r="H186" s="8" t="s">
        <v>9</v>
      </c>
      <c r="I186" s="8" t="s">
        <v>10</v>
      </c>
      <c r="J186" s="7" t="s">
        <v>34</v>
      </c>
      <c r="K186" t="s">
        <v>19</v>
      </c>
      <c r="L186" t="str" cm="1">
        <f t="array" ref="L186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186" s="12">
        <f>Table1[[#This Row],[Price]]*Table1[[#This Row],[Quantity]]</f>
        <v>2210</v>
      </c>
      <c r="N186" s="12" t="str" cm="1">
        <f t="array" ref="N186">_xlfn.IFS(Table1[[#This Row],[Revenue]]&lt;=3267,"Low Sales",Table1[[#This Row],[Revenue]]&lt;=6534,"Fair Sales",Table1[[#This Row],[Revenue]]&gt;6534,"High Sales")</f>
        <v>Low Sales</v>
      </c>
    </row>
    <row r="187" spans="1:14" ht="15.75" x14ac:dyDescent="0.25">
      <c r="A187" s="9">
        <v>10642</v>
      </c>
      <c r="B187" s="4">
        <v>44910</v>
      </c>
      <c r="C187" s="4" t="str">
        <f>TEXT(Table1[[#This Row],[Date]],"mmmm")</f>
        <v>December</v>
      </c>
      <c r="D187" s="4" t="str">
        <f>TEXT(Table1[[#This Row],[Date]],"dddd")</f>
        <v>Thursday</v>
      </c>
      <c r="E187" t="s">
        <v>8</v>
      </c>
      <c r="F187" s="11">
        <v>4</v>
      </c>
      <c r="G187">
        <v>630</v>
      </c>
      <c r="H187" s="8" t="s">
        <v>9</v>
      </c>
      <c r="I187" s="8" t="s">
        <v>36</v>
      </c>
      <c r="J187" s="7" t="s">
        <v>34</v>
      </c>
      <c r="K187" t="s">
        <v>19</v>
      </c>
      <c r="L187" t="str" cm="1">
        <f t="array" ref="L187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187" s="12">
        <f>Table1[[#This Row],[Price]]*Table1[[#This Row],[Quantity]]</f>
        <v>2520</v>
      </c>
      <c r="N187" s="12" t="str" cm="1">
        <f t="array" ref="N187">_xlfn.IFS(Table1[[#This Row],[Revenue]]&lt;=3267,"Low Sales",Table1[[#This Row],[Revenue]]&lt;=6534,"Fair Sales",Table1[[#This Row],[Revenue]]&gt;6534,"High Sales")</f>
        <v>Low Sales</v>
      </c>
    </row>
    <row r="188" spans="1:14" ht="15.75" x14ac:dyDescent="0.25">
      <c r="A188" s="9">
        <v>10643</v>
      </c>
      <c r="B188" s="4">
        <v>44910</v>
      </c>
      <c r="C188" s="4" t="str">
        <f>TEXT(Table1[[#This Row],[Date]],"mmmm")</f>
        <v>December</v>
      </c>
      <c r="D188" s="4" t="str">
        <f>TEXT(Table1[[#This Row],[Date]],"dddd")</f>
        <v>Thursday</v>
      </c>
      <c r="E188" t="s">
        <v>13</v>
      </c>
      <c r="F188" s="11">
        <v>3</v>
      </c>
      <c r="G188">
        <v>678</v>
      </c>
      <c r="H188" s="8" t="s">
        <v>9</v>
      </c>
      <c r="I188" s="8" t="s">
        <v>36</v>
      </c>
      <c r="J188" s="7" t="s">
        <v>34</v>
      </c>
      <c r="K188" t="s">
        <v>19</v>
      </c>
      <c r="L188" t="str" cm="1">
        <f t="array" ref="L188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188" s="12">
        <f>Table1[[#This Row],[Price]]*Table1[[#This Row],[Quantity]]</f>
        <v>2034</v>
      </c>
      <c r="N188" s="12" t="str" cm="1">
        <f t="array" ref="N188">_xlfn.IFS(Table1[[#This Row],[Revenue]]&lt;=3267,"Low Sales",Table1[[#This Row],[Revenue]]&lt;=6534,"Fair Sales",Table1[[#This Row],[Revenue]]&gt;6534,"High Sales")</f>
        <v>Low Sales</v>
      </c>
    </row>
    <row r="189" spans="1:14" ht="15.75" x14ac:dyDescent="0.25">
      <c r="A189" s="9">
        <v>10644</v>
      </c>
      <c r="B189" s="4">
        <v>44910</v>
      </c>
      <c r="C189" s="4" t="str">
        <f>TEXT(Table1[[#This Row],[Date]],"mmmm")</f>
        <v>December</v>
      </c>
      <c r="D189" s="4" t="str">
        <f>TEXT(Table1[[#This Row],[Date]],"dddd")</f>
        <v>Thursday</v>
      </c>
      <c r="E189" t="s">
        <v>16</v>
      </c>
      <c r="F189" s="11">
        <v>5</v>
      </c>
      <c r="G189">
        <v>200</v>
      </c>
      <c r="H189" s="8" t="s">
        <v>9</v>
      </c>
      <c r="I189" s="8" t="s">
        <v>36</v>
      </c>
      <c r="J189" s="7" t="s">
        <v>34</v>
      </c>
      <c r="K189" t="s">
        <v>19</v>
      </c>
      <c r="L189" t="str" cm="1">
        <f t="array" ref="L189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189" s="12">
        <f>Table1[[#This Row],[Price]]*Table1[[#This Row],[Quantity]]</f>
        <v>1000</v>
      </c>
      <c r="N189" s="12" t="str" cm="1">
        <f t="array" ref="N189">_xlfn.IFS(Table1[[#This Row],[Revenue]]&lt;=3267,"Low Sales",Table1[[#This Row],[Revenue]]&lt;=6534,"Fair Sales",Table1[[#This Row],[Revenue]]&gt;6534,"High Sales")</f>
        <v>Low Sales</v>
      </c>
    </row>
    <row r="190" spans="1:14" ht="15.75" x14ac:dyDescent="0.25">
      <c r="A190" s="9">
        <v>10645</v>
      </c>
      <c r="B190" s="4">
        <v>44911</v>
      </c>
      <c r="C190" s="4" t="str">
        <f>TEXT(Table1[[#This Row],[Date]],"mmmm")</f>
        <v>December</v>
      </c>
      <c r="D190" s="4" t="str">
        <f>TEXT(Table1[[#This Row],[Date]],"dddd")</f>
        <v>Friday</v>
      </c>
      <c r="E190" t="s">
        <v>20</v>
      </c>
      <c r="F190" s="11">
        <v>13</v>
      </c>
      <c r="G190">
        <v>570</v>
      </c>
      <c r="H190" s="8" t="s">
        <v>9</v>
      </c>
      <c r="I190" s="8" t="s">
        <v>36</v>
      </c>
      <c r="J190" s="7" t="s">
        <v>34</v>
      </c>
      <c r="K190" t="s">
        <v>19</v>
      </c>
      <c r="L190" t="str" cm="1">
        <f t="array" ref="L190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190" s="12">
        <f>Table1[[#This Row],[Price]]*Table1[[#This Row],[Quantity]]</f>
        <v>7410</v>
      </c>
      <c r="N190" s="12" t="str" cm="1">
        <f t="array" ref="N190">_xlfn.IFS(Table1[[#This Row],[Revenue]]&lt;=3267,"Low Sales",Table1[[#This Row],[Revenue]]&lt;=6534,"Fair Sales",Table1[[#This Row],[Revenue]]&gt;6534,"High Sales")</f>
        <v>High Sales</v>
      </c>
    </row>
    <row r="191" spans="1:14" ht="15.75" x14ac:dyDescent="0.25">
      <c r="A191" s="9">
        <v>10646</v>
      </c>
      <c r="B191" s="4">
        <v>44911</v>
      </c>
      <c r="C191" s="4" t="str">
        <f>TEXT(Table1[[#This Row],[Date]],"mmmm")</f>
        <v>December</v>
      </c>
      <c r="D191" s="4" t="str">
        <f>TEXT(Table1[[#This Row],[Date]],"dddd")</f>
        <v>Friday</v>
      </c>
      <c r="E191" t="s">
        <v>24</v>
      </c>
      <c r="F191" s="11">
        <v>10</v>
      </c>
      <c r="G191">
        <v>221</v>
      </c>
      <c r="H191" s="8" t="s">
        <v>9</v>
      </c>
      <c r="I191" s="8" t="s">
        <v>36</v>
      </c>
      <c r="J191" s="7" t="s">
        <v>34</v>
      </c>
      <c r="K191" t="s">
        <v>19</v>
      </c>
      <c r="L191" t="str" cm="1">
        <f t="array" ref="L191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191" s="12">
        <f>Table1[[#This Row],[Price]]*Table1[[#This Row],[Quantity]]</f>
        <v>2210</v>
      </c>
      <c r="N191" s="12" t="str" cm="1">
        <f t="array" ref="N191">_xlfn.IFS(Table1[[#This Row],[Revenue]]&lt;=3267,"Low Sales",Table1[[#This Row],[Revenue]]&lt;=6534,"Fair Sales",Table1[[#This Row],[Revenue]]&gt;6534,"High Sales")</f>
        <v>Low Sales</v>
      </c>
    </row>
    <row r="192" spans="1:14" ht="15.75" x14ac:dyDescent="0.25">
      <c r="A192" s="9">
        <v>10647</v>
      </c>
      <c r="B192" s="4">
        <v>44911</v>
      </c>
      <c r="C192" s="4" t="str">
        <f>TEXT(Table1[[#This Row],[Date]],"mmmm")</f>
        <v>December</v>
      </c>
      <c r="D192" s="4" t="str">
        <f>TEXT(Table1[[#This Row],[Date]],"dddd")</f>
        <v>Friday</v>
      </c>
      <c r="E192" t="s">
        <v>8</v>
      </c>
      <c r="F192" s="11">
        <v>4</v>
      </c>
      <c r="G192">
        <v>630</v>
      </c>
      <c r="H192" s="8" t="s">
        <v>9</v>
      </c>
      <c r="I192" s="8" t="s">
        <v>10</v>
      </c>
      <c r="J192" s="7" t="s">
        <v>34</v>
      </c>
      <c r="K192" t="s">
        <v>19</v>
      </c>
      <c r="L192" t="str" cm="1">
        <f t="array" ref="L192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192" s="12">
        <f>Table1[[#This Row],[Price]]*Table1[[#This Row],[Quantity]]</f>
        <v>2520</v>
      </c>
      <c r="N192" s="12" t="str" cm="1">
        <f t="array" ref="N192">_xlfn.IFS(Table1[[#This Row],[Revenue]]&lt;=3267,"Low Sales",Table1[[#This Row],[Revenue]]&lt;=6534,"Fair Sales",Table1[[#This Row],[Revenue]]&gt;6534,"High Sales")</f>
        <v>Low Sales</v>
      </c>
    </row>
    <row r="193" spans="1:14" ht="15.75" x14ac:dyDescent="0.25">
      <c r="A193" s="9">
        <v>10648</v>
      </c>
      <c r="B193" s="4">
        <v>44911</v>
      </c>
      <c r="C193" s="4" t="str">
        <f>TEXT(Table1[[#This Row],[Date]],"mmmm")</f>
        <v>December</v>
      </c>
      <c r="D193" s="4" t="str">
        <f>TEXT(Table1[[#This Row],[Date]],"dddd")</f>
        <v>Friday</v>
      </c>
      <c r="E193" t="s">
        <v>13</v>
      </c>
      <c r="F193" s="11">
        <v>3</v>
      </c>
      <c r="G193">
        <v>746</v>
      </c>
      <c r="H193" s="8" t="s">
        <v>9</v>
      </c>
      <c r="I193" s="8" t="s">
        <v>10</v>
      </c>
      <c r="J193" s="7" t="s">
        <v>34</v>
      </c>
      <c r="K193" t="s">
        <v>19</v>
      </c>
      <c r="L193" t="str" cm="1">
        <f t="array" ref="L193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193" s="12">
        <f>Table1[[#This Row],[Price]]*Table1[[#This Row],[Quantity]]</f>
        <v>2238</v>
      </c>
      <c r="N193" s="12" t="str" cm="1">
        <f t="array" ref="N193">_xlfn.IFS(Table1[[#This Row],[Revenue]]&lt;=3267,"Low Sales",Table1[[#This Row],[Revenue]]&lt;=6534,"Fair Sales",Table1[[#This Row],[Revenue]]&gt;6534,"High Sales")</f>
        <v>Low Sales</v>
      </c>
    </row>
    <row r="194" spans="1:14" ht="15.75" x14ac:dyDescent="0.25">
      <c r="A194" s="9">
        <v>10649</v>
      </c>
      <c r="B194" s="4">
        <v>44911</v>
      </c>
      <c r="C194" s="4" t="str">
        <f>TEXT(Table1[[#This Row],[Date]],"mmmm")</f>
        <v>December</v>
      </c>
      <c r="D194" s="4" t="str">
        <f>TEXT(Table1[[#This Row],[Date]],"dddd")</f>
        <v>Friday</v>
      </c>
      <c r="E194" t="s">
        <v>16</v>
      </c>
      <c r="F194" s="11">
        <v>5</v>
      </c>
      <c r="G194">
        <v>200</v>
      </c>
      <c r="H194" s="8" t="s">
        <v>9</v>
      </c>
      <c r="I194" s="8" t="s">
        <v>10</v>
      </c>
      <c r="J194" s="7" t="s">
        <v>34</v>
      </c>
      <c r="K194" t="s">
        <v>19</v>
      </c>
      <c r="L194" t="str" cm="1">
        <f t="array" ref="L194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194" s="12">
        <f>Table1[[#This Row],[Price]]*Table1[[#This Row],[Quantity]]</f>
        <v>1000</v>
      </c>
      <c r="N194" s="12" t="str" cm="1">
        <f t="array" ref="N194">_xlfn.IFS(Table1[[#This Row],[Revenue]]&lt;=3267,"Low Sales",Table1[[#This Row],[Revenue]]&lt;=6534,"Fair Sales",Table1[[#This Row],[Revenue]]&gt;6534,"High Sales")</f>
        <v>Low Sales</v>
      </c>
    </row>
    <row r="195" spans="1:14" ht="15.75" x14ac:dyDescent="0.25">
      <c r="A195" s="9">
        <v>10650</v>
      </c>
      <c r="B195" s="4">
        <v>44912</v>
      </c>
      <c r="C195" s="4" t="str">
        <f>TEXT(Table1[[#This Row],[Date]],"mmmm")</f>
        <v>December</v>
      </c>
      <c r="D195" s="4" t="str">
        <f>TEXT(Table1[[#This Row],[Date]],"dddd")</f>
        <v>Saturday</v>
      </c>
      <c r="E195" t="s">
        <v>20</v>
      </c>
      <c r="F195" s="11">
        <v>13</v>
      </c>
      <c r="G195">
        <v>585</v>
      </c>
      <c r="H195" s="8" t="s">
        <v>9</v>
      </c>
      <c r="I195" s="8" t="s">
        <v>10</v>
      </c>
      <c r="J195" s="7" t="s">
        <v>34</v>
      </c>
      <c r="K195" t="s">
        <v>19</v>
      </c>
      <c r="L195" t="str" cm="1">
        <f t="array" ref="L195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195" s="12">
        <f>Table1[[#This Row],[Price]]*Table1[[#This Row],[Quantity]]</f>
        <v>7605</v>
      </c>
      <c r="N195" s="12" t="str" cm="1">
        <f t="array" ref="N195">_xlfn.IFS(Table1[[#This Row],[Revenue]]&lt;=3267,"Low Sales",Table1[[#This Row],[Revenue]]&lt;=6534,"Fair Sales",Table1[[#This Row],[Revenue]]&gt;6534,"High Sales")</f>
        <v>High Sales</v>
      </c>
    </row>
    <row r="196" spans="1:14" ht="15.75" x14ac:dyDescent="0.25">
      <c r="A196" s="9">
        <v>10651</v>
      </c>
      <c r="B196" s="4">
        <v>44912</v>
      </c>
      <c r="C196" s="4" t="str">
        <f>TEXT(Table1[[#This Row],[Date]],"mmmm")</f>
        <v>December</v>
      </c>
      <c r="D196" s="4" t="str">
        <f>TEXT(Table1[[#This Row],[Date]],"dddd")</f>
        <v>Saturday</v>
      </c>
      <c r="E196" t="s">
        <v>24</v>
      </c>
      <c r="F196" s="11">
        <v>10</v>
      </c>
      <c r="G196">
        <v>221</v>
      </c>
      <c r="H196" s="8" t="s">
        <v>9</v>
      </c>
      <c r="I196" s="8" t="s">
        <v>10</v>
      </c>
      <c r="J196" s="7" t="s">
        <v>34</v>
      </c>
      <c r="K196" t="s">
        <v>19</v>
      </c>
      <c r="L196" t="str" cm="1">
        <f t="array" ref="L196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196" s="12">
        <f>Table1[[#This Row],[Price]]*Table1[[#This Row],[Quantity]]</f>
        <v>2210</v>
      </c>
      <c r="N196" s="12" t="str" cm="1">
        <f t="array" ref="N196">_xlfn.IFS(Table1[[#This Row],[Revenue]]&lt;=3267,"Low Sales",Table1[[#This Row],[Revenue]]&lt;=6534,"Fair Sales",Table1[[#This Row],[Revenue]]&gt;6534,"High Sales")</f>
        <v>Low Sales</v>
      </c>
    </row>
    <row r="197" spans="1:14" ht="15.75" x14ac:dyDescent="0.25">
      <c r="A197" s="9">
        <v>10652</v>
      </c>
      <c r="B197" s="4">
        <v>44912</v>
      </c>
      <c r="C197" s="4" t="str">
        <f>TEXT(Table1[[#This Row],[Date]],"mmmm")</f>
        <v>December</v>
      </c>
      <c r="D197" s="4" t="str">
        <f>TEXT(Table1[[#This Row],[Date]],"dddd")</f>
        <v>Saturday</v>
      </c>
      <c r="E197" t="s">
        <v>8</v>
      </c>
      <c r="F197" s="11">
        <v>4</v>
      </c>
      <c r="G197">
        <v>688</v>
      </c>
      <c r="H197" s="8" t="s">
        <v>9</v>
      </c>
      <c r="I197" s="8" t="s">
        <v>10</v>
      </c>
      <c r="J197" s="7" t="s">
        <v>34</v>
      </c>
      <c r="K197" t="s">
        <v>19</v>
      </c>
      <c r="L197" t="str" cm="1">
        <f t="array" ref="L197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197" s="12">
        <f>Table1[[#This Row],[Price]]*Table1[[#This Row],[Quantity]]</f>
        <v>2752</v>
      </c>
      <c r="N197" s="12" t="str" cm="1">
        <f t="array" ref="N197">_xlfn.IFS(Table1[[#This Row],[Revenue]]&lt;=3267,"Low Sales",Table1[[#This Row],[Revenue]]&lt;=6534,"Fair Sales",Table1[[#This Row],[Revenue]]&gt;6534,"High Sales")</f>
        <v>Low Sales</v>
      </c>
    </row>
    <row r="198" spans="1:14" ht="15.75" x14ac:dyDescent="0.25">
      <c r="A198" s="9">
        <v>10653</v>
      </c>
      <c r="B198" s="4">
        <v>44912</v>
      </c>
      <c r="C198" s="4" t="str">
        <f>TEXT(Table1[[#This Row],[Date]],"mmmm")</f>
        <v>December</v>
      </c>
      <c r="D198" s="4" t="str">
        <f>TEXT(Table1[[#This Row],[Date]],"dddd")</f>
        <v>Saturday</v>
      </c>
      <c r="E198" t="s">
        <v>13</v>
      </c>
      <c r="F198" s="11">
        <v>3</v>
      </c>
      <c r="G198">
        <v>746</v>
      </c>
      <c r="H198" s="8" t="s">
        <v>9</v>
      </c>
      <c r="I198" s="8" t="s">
        <v>10</v>
      </c>
      <c r="J198" s="7" t="s">
        <v>34</v>
      </c>
      <c r="K198" t="s">
        <v>19</v>
      </c>
      <c r="L198" t="str" cm="1">
        <f t="array" ref="L198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198" s="12">
        <f>Table1[[#This Row],[Price]]*Table1[[#This Row],[Quantity]]</f>
        <v>2238</v>
      </c>
      <c r="N198" s="12" t="str" cm="1">
        <f t="array" ref="N198">_xlfn.IFS(Table1[[#This Row],[Revenue]]&lt;=3267,"Low Sales",Table1[[#This Row],[Revenue]]&lt;=6534,"Fair Sales",Table1[[#This Row],[Revenue]]&gt;6534,"High Sales")</f>
        <v>Low Sales</v>
      </c>
    </row>
    <row r="199" spans="1:14" ht="15.75" x14ac:dyDescent="0.25">
      <c r="A199" s="9">
        <v>10654</v>
      </c>
      <c r="B199" s="4">
        <v>44912</v>
      </c>
      <c r="C199" s="4" t="str">
        <f>TEXT(Table1[[#This Row],[Date]],"mmmm")</f>
        <v>December</v>
      </c>
      <c r="D199" s="4" t="str">
        <f>TEXT(Table1[[#This Row],[Date]],"dddd")</f>
        <v>Saturday</v>
      </c>
      <c r="E199" t="s">
        <v>16</v>
      </c>
      <c r="F199" s="11">
        <v>5</v>
      </c>
      <c r="G199">
        <v>200</v>
      </c>
      <c r="H199" s="8" t="s">
        <v>9</v>
      </c>
      <c r="I199" s="8" t="s">
        <v>10</v>
      </c>
      <c r="J199" s="7" t="s">
        <v>34</v>
      </c>
      <c r="K199" t="s">
        <v>19</v>
      </c>
      <c r="L199" t="str" cm="1">
        <f t="array" ref="L199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199" s="12">
        <f>Table1[[#This Row],[Price]]*Table1[[#This Row],[Quantity]]</f>
        <v>1000</v>
      </c>
      <c r="N199" s="12" t="str" cm="1">
        <f t="array" ref="N199">_xlfn.IFS(Table1[[#This Row],[Revenue]]&lt;=3267,"Low Sales",Table1[[#This Row],[Revenue]]&lt;=6534,"Fair Sales",Table1[[#This Row],[Revenue]]&gt;6534,"High Sales")</f>
        <v>Low Sales</v>
      </c>
    </row>
    <row r="200" spans="1:14" ht="15.75" x14ac:dyDescent="0.25">
      <c r="A200" s="9">
        <v>10655</v>
      </c>
      <c r="B200" s="4">
        <v>44913</v>
      </c>
      <c r="C200" s="4" t="str">
        <f>TEXT(Table1[[#This Row],[Date]],"mmmm")</f>
        <v>December</v>
      </c>
      <c r="D200" s="4" t="str">
        <f>TEXT(Table1[[#This Row],[Date]],"dddd")</f>
        <v>Sunday</v>
      </c>
      <c r="E200" t="s">
        <v>20</v>
      </c>
      <c r="F200" s="11">
        <v>13</v>
      </c>
      <c r="G200">
        <v>600</v>
      </c>
      <c r="H200" s="8" t="s">
        <v>9</v>
      </c>
      <c r="I200" s="8" t="s">
        <v>10</v>
      </c>
      <c r="J200" s="7" t="s">
        <v>34</v>
      </c>
      <c r="K200" t="s">
        <v>19</v>
      </c>
      <c r="L200" t="str" cm="1">
        <f t="array" ref="L200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200" s="12">
        <f>Table1[[#This Row],[Price]]*Table1[[#This Row],[Quantity]]</f>
        <v>7800</v>
      </c>
      <c r="N200" s="12" t="str" cm="1">
        <f t="array" ref="N200">_xlfn.IFS(Table1[[#This Row],[Revenue]]&lt;=3267,"Low Sales",Table1[[#This Row],[Revenue]]&lt;=6534,"Fair Sales",Table1[[#This Row],[Revenue]]&gt;6534,"High Sales")</f>
        <v>High Sales</v>
      </c>
    </row>
    <row r="201" spans="1:14" ht="15.75" x14ac:dyDescent="0.25">
      <c r="A201" s="9">
        <v>10656</v>
      </c>
      <c r="B201" s="4">
        <v>44913</v>
      </c>
      <c r="C201" s="4" t="str">
        <f>TEXT(Table1[[#This Row],[Date]],"mmmm")</f>
        <v>December</v>
      </c>
      <c r="D201" s="4" t="str">
        <f>TEXT(Table1[[#This Row],[Date]],"dddd")</f>
        <v>Sunday</v>
      </c>
      <c r="E201" t="s">
        <v>24</v>
      </c>
      <c r="F201" s="11">
        <v>10</v>
      </c>
      <c r="G201">
        <v>221</v>
      </c>
      <c r="H201" s="8" t="s">
        <v>9</v>
      </c>
      <c r="I201" s="8" t="s">
        <v>10</v>
      </c>
      <c r="J201" s="7" t="s">
        <v>34</v>
      </c>
      <c r="K201" t="s">
        <v>19</v>
      </c>
      <c r="L201" t="str" cm="1">
        <f t="array" ref="L201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201" s="12">
        <f>Table1[[#This Row],[Price]]*Table1[[#This Row],[Quantity]]</f>
        <v>2210</v>
      </c>
      <c r="N201" s="12" t="str" cm="1">
        <f t="array" ref="N201">_xlfn.IFS(Table1[[#This Row],[Revenue]]&lt;=3267,"Low Sales",Table1[[#This Row],[Revenue]]&lt;=6534,"Fair Sales",Table1[[#This Row],[Revenue]]&gt;6534,"High Sales")</f>
        <v>Low Sales</v>
      </c>
    </row>
    <row r="202" spans="1:14" ht="15.75" x14ac:dyDescent="0.25">
      <c r="A202" s="9">
        <v>10657</v>
      </c>
      <c r="B202" s="4">
        <v>44913</v>
      </c>
      <c r="C202" s="4" t="str">
        <f>TEXT(Table1[[#This Row],[Date]],"mmmm")</f>
        <v>December</v>
      </c>
      <c r="D202" s="4" t="str">
        <f>TEXT(Table1[[#This Row],[Date]],"dddd")</f>
        <v>Sunday</v>
      </c>
      <c r="E202" t="s">
        <v>8</v>
      </c>
      <c r="F202" s="11">
        <v>4</v>
      </c>
      <c r="G202">
        <v>688</v>
      </c>
      <c r="H202" s="8" t="s">
        <v>9</v>
      </c>
      <c r="I202" s="8" t="s">
        <v>10</v>
      </c>
      <c r="J202" s="7" t="s">
        <v>34</v>
      </c>
      <c r="K202" t="s">
        <v>19</v>
      </c>
      <c r="L202" t="str" cm="1">
        <f t="array" ref="L202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202" s="12">
        <f>Table1[[#This Row],[Price]]*Table1[[#This Row],[Quantity]]</f>
        <v>2752</v>
      </c>
      <c r="N202" s="12" t="str" cm="1">
        <f t="array" ref="N202">_xlfn.IFS(Table1[[#This Row],[Revenue]]&lt;=3267,"Low Sales",Table1[[#This Row],[Revenue]]&lt;=6534,"Fair Sales",Table1[[#This Row],[Revenue]]&gt;6534,"High Sales")</f>
        <v>Low Sales</v>
      </c>
    </row>
    <row r="203" spans="1:14" ht="15.75" x14ac:dyDescent="0.25">
      <c r="A203" s="9">
        <v>10658</v>
      </c>
      <c r="B203" s="4">
        <v>44913</v>
      </c>
      <c r="C203" s="4" t="str">
        <f>TEXT(Table1[[#This Row],[Date]],"mmmm")</f>
        <v>December</v>
      </c>
      <c r="D203" s="4" t="str">
        <f>TEXT(Table1[[#This Row],[Date]],"dddd")</f>
        <v>Sunday</v>
      </c>
      <c r="E203" t="s">
        <v>13</v>
      </c>
      <c r="F203" s="11">
        <v>3</v>
      </c>
      <c r="G203">
        <v>746</v>
      </c>
      <c r="H203" s="8" t="s">
        <v>9</v>
      </c>
      <c r="I203" s="8" t="s">
        <v>36</v>
      </c>
      <c r="J203" s="7" t="s">
        <v>34</v>
      </c>
      <c r="K203" t="s">
        <v>19</v>
      </c>
      <c r="L203" t="str" cm="1">
        <f t="array" ref="L203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203" s="12">
        <f>Table1[[#This Row],[Price]]*Table1[[#This Row],[Quantity]]</f>
        <v>2238</v>
      </c>
      <c r="N203" s="12" t="str" cm="1">
        <f t="array" ref="N203">_xlfn.IFS(Table1[[#This Row],[Revenue]]&lt;=3267,"Low Sales",Table1[[#This Row],[Revenue]]&lt;=6534,"Fair Sales",Table1[[#This Row],[Revenue]]&gt;6534,"High Sales")</f>
        <v>Low Sales</v>
      </c>
    </row>
    <row r="204" spans="1:14" ht="15.75" x14ac:dyDescent="0.25">
      <c r="A204" s="9">
        <v>10659</v>
      </c>
      <c r="B204" s="4">
        <v>44913</v>
      </c>
      <c r="C204" s="4" t="str">
        <f>TEXT(Table1[[#This Row],[Date]],"mmmm")</f>
        <v>December</v>
      </c>
      <c r="D204" s="4" t="str">
        <f>TEXT(Table1[[#This Row],[Date]],"dddd")</f>
        <v>Sunday</v>
      </c>
      <c r="E204" t="s">
        <v>16</v>
      </c>
      <c r="F204" s="11">
        <v>5</v>
      </c>
      <c r="G204">
        <v>200</v>
      </c>
      <c r="H204" s="8" t="s">
        <v>9</v>
      </c>
      <c r="I204" s="8" t="s">
        <v>36</v>
      </c>
      <c r="J204" s="7" t="s">
        <v>34</v>
      </c>
      <c r="K204" t="s">
        <v>19</v>
      </c>
      <c r="L204" t="str" cm="1">
        <f t="array" ref="L204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204" s="12">
        <f>Table1[[#This Row],[Price]]*Table1[[#This Row],[Quantity]]</f>
        <v>1000</v>
      </c>
      <c r="N204" s="12" t="str" cm="1">
        <f t="array" ref="N204">_xlfn.IFS(Table1[[#This Row],[Revenue]]&lt;=3267,"Low Sales",Table1[[#This Row],[Revenue]]&lt;=6534,"Fair Sales",Table1[[#This Row],[Revenue]]&gt;6534,"High Sales")</f>
        <v>Low Sales</v>
      </c>
    </row>
    <row r="205" spans="1:14" ht="15.75" x14ac:dyDescent="0.25">
      <c r="A205" s="9">
        <v>10660</v>
      </c>
      <c r="B205" s="4">
        <v>44914</v>
      </c>
      <c r="C205" s="4" t="str">
        <f>TEXT(Table1[[#This Row],[Date]],"mmmm")</f>
        <v>December</v>
      </c>
      <c r="D205" s="4" t="str">
        <f>TEXT(Table1[[#This Row],[Date]],"dddd")</f>
        <v>Monday</v>
      </c>
      <c r="E205" t="s">
        <v>20</v>
      </c>
      <c r="F205" s="11">
        <v>13</v>
      </c>
      <c r="G205">
        <v>631</v>
      </c>
      <c r="H205" s="8" t="s">
        <v>17</v>
      </c>
      <c r="I205" s="8" t="s">
        <v>36</v>
      </c>
      <c r="J205" s="7" t="s">
        <v>34</v>
      </c>
      <c r="K205" t="s">
        <v>19</v>
      </c>
      <c r="L205" t="str" cm="1">
        <f t="array" ref="L205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205" s="12">
        <f>Table1[[#This Row],[Price]]*Table1[[#This Row],[Quantity]]</f>
        <v>8203</v>
      </c>
      <c r="N205" s="12" t="str" cm="1">
        <f t="array" ref="N205">_xlfn.IFS(Table1[[#This Row],[Revenue]]&lt;=3267,"Low Sales",Table1[[#This Row],[Revenue]]&lt;=6534,"Fair Sales",Table1[[#This Row],[Revenue]]&gt;6534,"High Sales")</f>
        <v>High Sales</v>
      </c>
    </row>
    <row r="206" spans="1:14" ht="15.75" x14ac:dyDescent="0.25">
      <c r="A206" s="9">
        <v>10661</v>
      </c>
      <c r="B206" s="4">
        <v>44914</v>
      </c>
      <c r="C206" s="4" t="str">
        <f>TEXT(Table1[[#This Row],[Date]],"mmmm")</f>
        <v>December</v>
      </c>
      <c r="D206" s="4" t="str">
        <f>TEXT(Table1[[#This Row],[Date]],"dddd")</f>
        <v>Monday</v>
      </c>
      <c r="E206" t="s">
        <v>24</v>
      </c>
      <c r="F206" s="11">
        <v>10</v>
      </c>
      <c r="G206">
        <v>221</v>
      </c>
      <c r="H206" s="8" t="s">
        <v>17</v>
      </c>
      <c r="I206" s="8" t="s">
        <v>36</v>
      </c>
      <c r="J206" s="7" t="s">
        <v>34</v>
      </c>
      <c r="K206" t="s">
        <v>19</v>
      </c>
      <c r="L206" t="str" cm="1">
        <f t="array" ref="L206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206" s="12">
        <f>Table1[[#This Row],[Price]]*Table1[[#This Row],[Quantity]]</f>
        <v>2210</v>
      </c>
      <c r="N206" s="12" t="str" cm="1">
        <f t="array" ref="N206">_xlfn.IFS(Table1[[#This Row],[Revenue]]&lt;=3267,"Low Sales",Table1[[#This Row],[Revenue]]&lt;=6534,"Fair Sales",Table1[[#This Row],[Revenue]]&gt;6534,"High Sales")</f>
        <v>Low Sales</v>
      </c>
    </row>
    <row r="207" spans="1:14" ht="15.75" x14ac:dyDescent="0.25">
      <c r="A207" s="9">
        <v>10662</v>
      </c>
      <c r="B207" s="4">
        <v>44914</v>
      </c>
      <c r="C207" s="4" t="str">
        <f>TEXT(Table1[[#This Row],[Date]],"mmmm")</f>
        <v>December</v>
      </c>
      <c r="D207" s="4" t="str">
        <f>TEXT(Table1[[#This Row],[Date]],"dddd")</f>
        <v>Monday</v>
      </c>
      <c r="E207" t="s">
        <v>8</v>
      </c>
      <c r="F207" s="11">
        <v>4</v>
      </c>
      <c r="G207">
        <v>630</v>
      </c>
      <c r="H207" s="8" t="s">
        <v>17</v>
      </c>
      <c r="I207" s="8" t="s">
        <v>36</v>
      </c>
      <c r="J207" s="7" t="s">
        <v>34</v>
      </c>
      <c r="K207" t="s">
        <v>19</v>
      </c>
      <c r="L207" t="str" cm="1">
        <f t="array" ref="L207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207" s="12">
        <f>Table1[[#This Row],[Price]]*Table1[[#This Row],[Quantity]]</f>
        <v>2520</v>
      </c>
      <c r="N207" s="12" t="str" cm="1">
        <f t="array" ref="N207">_xlfn.IFS(Table1[[#This Row],[Revenue]]&lt;=3267,"Low Sales",Table1[[#This Row],[Revenue]]&lt;=6534,"Fair Sales",Table1[[#This Row],[Revenue]]&gt;6534,"High Sales")</f>
        <v>Low Sales</v>
      </c>
    </row>
    <row r="208" spans="1:14" ht="15.75" x14ac:dyDescent="0.25">
      <c r="A208" s="9">
        <v>10663</v>
      </c>
      <c r="B208" s="4">
        <v>44914</v>
      </c>
      <c r="C208" s="4" t="str">
        <f>TEXT(Table1[[#This Row],[Date]],"mmmm")</f>
        <v>December</v>
      </c>
      <c r="D208" s="4" t="str">
        <f>TEXT(Table1[[#This Row],[Date]],"dddd")</f>
        <v>Monday</v>
      </c>
      <c r="E208" t="s">
        <v>13</v>
      </c>
      <c r="F208" s="11">
        <v>3</v>
      </c>
      <c r="G208">
        <v>746</v>
      </c>
      <c r="H208" s="8" t="s">
        <v>17</v>
      </c>
      <c r="I208" s="8" t="s">
        <v>36</v>
      </c>
      <c r="J208" s="7" t="s">
        <v>34</v>
      </c>
      <c r="K208" t="s">
        <v>19</v>
      </c>
      <c r="L208" t="str" cm="1">
        <f t="array" ref="L208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208" s="12">
        <f>Table1[[#This Row],[Price]]*Table1[[#This Row],[Quantity]]</f>
        <v>2238</v>
      </c>
      <c r="N208" s="12" t="str" cm="1">
        <f t="array" ref="N208">_xlfn.IFS(Table1[[#This Row],[Revenue]]&lt;=3267,"Low Sales",Table1[[#This Row],[Revenue]]&lt;=6534,"Fair Sales",Table1[[#This Row],[Revenue]]&gt;6534,"High Sales")</f>
        <v>Low Sales</v>
      </c>
    </row>
    <row r="209" spans="1:14" ht="15.75" x14ac:dyDescent="0.25">
      <c r="A209" s="9">
        <v>10664</v>
      </c>
      <c r="B209" s="4">
        <v>44914</v>
      </c>
      <c r="C209" s="4" t="str">
        <f>TEXT(Table1[[#This Row],[Date]],"mmmm")</f>
        <v>December</v>
      </c>
      <c r="D209" s="4" t="str">
        <f>TEXT(Table1[[#This Row],[Date]],"dddd")</f>
        <v>Monday</v>
      </c>
      <c r="E209" t="s">
        <v>16</v>
      </c>
      <c r="F209" s="11">
        <v>5</v>
      </c>
      <c r="G209">
        <v>200</v>
      </c>
      <c r="H209" s="8" t="s">
        <v>17</v>
      </c>
      <c r="I209" s="8" t="s">
        <v>36</v>
      </c>
      <c r="J209" s="7" t="s">
        <v>34</v>
      </c>
      <c r="K209" t="s">
        <v>19</v>
      </c>
      <c r="L209" t="str" cm="1">
        <f t="array" ref="L209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209" s="12">
        <f>Table1[[#This Row],[Price]]*Table1[[#This Row],[Quantity]]</f>
        <v>1000</v>
      </c>
      <c r="N209" s="12" t="str" cm="1">
        <f t="array" ref="N209">_xlfn.IFS(Table1[[#This Row],[Revenue]]&lt;=3267,"Low Sales",Table1[[#This Row],[Revenue]]&lt;=6534,"Fair Sales",Table1[[#This Row],[Revenue]]&gt;6534,"High Sales")</f>
        <v>Low Sales</v>
      </c>
    </row>
    <row r="210" spans="1:14" ht="15.75" x14ac:dyDescent="0.25">
      <c r="A210" s="9">
        <v>10665</v>
      </c>
      <c r="B210" s="4">
        <v>44915</v>
      </c>
      <c r="C210" s="4" t="str">
        <f>TEXT(Table1[[#This Row],[Date]],"mmmm")</f>
        <v>December</v>
      </c>
      <c r="D210" s="4" t="str">
        <f>TEXT(Table1[[#This Row],[Date]],"dddd")</f>
        <v>Tuesday</v>
      </c>
      <c r="E210" t="s">
        <v>20</v>
      </c>
      <c r="F210" s="11">
        <v>13</v>
      </c>
      <c r="G210">
        <v>647</v>
      </c>
      <c r="H210" s="8" t="s">
        <v>17</v>
      </c>
      <c r="I210" s="8" t="s">
        <v>36</v>
      </c>
      <c r="J210" s="7" t="s">
        <v>34</v>
      </c>
      <c r="K210" t="s">
        <v>19</v>
      </c>
      <c r="L210" t="str" cm="1">
        <f t="array" ref="L210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210" s="12">
        <f>Table1[[#This Row],[Price]]*Table1[[#This Row],[Quantity]]</f>
        <v>8411</v>
      </c>
      <c r="N210" s="12" t="str" cm="1">
        <f t="array" ref="N210">_xlfn.IFS(Table1[[#This Row],[Revenue]]&lt;=3267,"Low Sales",Table1[[#This Row],[Revenue]]&lt;=6534,"Fair Sales",Table1[[#This Row],[Revenue]]&gt;6534,"High Sales")</f>
        <v>High Sales</v>
      </c>
    </row>
    <row r="211" spans="1:14" ht="15.75" x14ac:dyDescent="0.25">
      <c r="A211" s="9">
        <v>10666</v>
      </c>
      <c r="B211" s="4">
        <v>44915</v>
      </c>
      <c r="C211" s="4" t="str">
        <f>TEXT(Table1[[#This Row],[Date]],"mmmm")</f>
        <v>December</v>
      </c>
      <c r="D211" s="4" t="str">
        <f>TEXT(Table1[[#This Row],[Date]],"dddd")</f>
        <v>Tuesday</v>
      </c>
      <c r="E211" t="s">
        <v>24</v>
      </c>
      <c r="F211" s="11">
        <v>10</v>
      </c>
      <c r="G211">
        <v>221</v>
      </c>
      <c r="H211" s="8" t="s">
        <v>17</v>
      </c>
      <c r="I211" s="8" t="s">
        <v>36</v>
      </c>
      <c r="J211" s="7" t="s">
        <v>34</v>
      </c>
      <c r="K211" t="s">
        <v>19</v>
      </c>
      <c r="L211" t="str" cm="1">
        <f t="array" ref="L211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211" s="12">
        <f>Table1[[#This Row],[Price]]*Table1[[#This Row],[Quantity]]</f>
        <v>2210</v>
      </c>
      <c r="N211" s="12" t="str" cm="1">
        <f t="array" ref="N211">_xlfn.IFS(Table1[[#This Row],[Revenue]]&lt;=3267,"Low Sales",Table1[[#This Row],[Revenue]]&lt;=6534,"Fair Sales",Table1[[#This Row],[Revenue]]&gt;6534,"High Sales")</f>
        <v>Low Sales</v>
      </c>
    </row>
    <row r="212" spans="1:14" ht="15.75" x14ac:dyDescent="0.25">
      <c r="A212" s="9">
        <v>10667</v>
      </c>
      <c r="B212" s="4">
        <v>44915</v>
      </c>
      <c r="C212" s="4" t="str">
        <f>TEXT(Table1[[#This Row],[Date]],"mmmm")</f>
        <v>December</v>
      </c>
      <c r="D212" s="4" t="str">
        <f>TEXT(Table1[[#This Row],[Date]],"dddd")</f>
        <v>Tuesday</v>
      </c>
      <c r="E212" t="s">
        <v>8</v>
      </c>
      <c r="F212" s="11">
        <v>4</v>
      </c>
      <c r="G212">
        <v>630</v>
      </c>
      <c r="H212" s="8" t="s">
        <v>17</v>
      </c>
      <c r="I212" s="8" t="s">
        <v>36</v>
      </c>
      <c r="J212" s="7" t="s">
        <v>34</v>
      </c>
      <c r="K212" t="s">
        <v>19</v>
      </c>
      <c r="L212" t="str" cm="1">
        <f t="array" ref="L212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212" s="12">
        <f>Table1[[#This Row],[Price]]*Table1[[#This Row],[Quantity]]</f>
        <v>2520</v>
      </c>
      <c r="N212" s="12" t="str" cm="1">
        <f t="array" ref="N212">_xlfn.IFS(Table1[[#This Row],[Revenue]]&lt;=3267,"Low Sales",Table1[[#This Row],[Revenue]]&lt;=6534,"Fair Sales",Table1[[#This Row],[Revenue]]&gt;6534,"High Sales")</f>
        <v>Low Sales</v>
      </c>
    </row>
    <row r="213" spans="1:14" ht="15.75" x14ac:dyDescent="0.25">
      <c r="A213" s="9">
        <v>10668</v>
      </c>
      <c r="B213" s="4">
        <v>44915</v>
      </c>
      <c r="C213" s="4" t="str">
        <f>TEXT(Table1[[#This Row],[Date]],"mmmm")</f>
        <v>December</v>
      </c>
      <c r="D213" s="4" t="str">
        <f>TEXT(Table1[[#This Row],[Date]],"dddd")</f>
        <v>Tuesday</v>
      </c>
      <c r="E213" t="s">
        <v>13</v>
      </c>
      <c r="F213" s="11">
        <v>3</v>
      </c>
      <c r="G213">
        <v>746</v>
      </c>
      <c r="H213" s="8" t="s">
        <v>17</v>
      </c>
      <c r="I213" s="8" t="s">
        <v>36</v>
      </c>
      <c r="J213" s="7" t="s">
        <v>34</v>
      </c>
      <c r="K213" t="s">
        <v>19</v>
      </c>
      <c r="L213" t="str" cm="1">
        <f t="array" ref="L213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213" s="12">
        <f>Table1[[#This Row],[Price]]*Table1[[#This Row],[Quantity]]</f>
        <v>2238</v>
      </c>
      <c r="N213" s="12" t="str" cm="1">
        <f t="array" ref="N213">_xlfn.IFS(Table1[[#This Row],[Revenue]]&lt;=3267,"Low Sales",Table1[[#This Row],[Revenue]]&lt;=6534,"Fair Sales",Table1[[#This Row],[Revenue]]&gt;6534,"High Sales")</f>
        <v>Low Sales</v>
      </c>
    </row>
    <row r="214" spans="1:14" ht="15.75" x14ac:dyDescent="0.25">
      <c r="A214" s="9">
        <v>10669</v>
      </c>
      <c r="B214" s="4">
        <v>44915</v>
      </c>
      <c r="C214" s="4" t="str">
        <f>TEXT(Table1[[#This Row],[Date]],"mmmm")</f>
        <v>December</v>
      </c>
      <c r="D214" s="4" t="str">
        <f>TEXT(Table1[[#This Row],[Date]],"dddd")</f>
        <v>Tuesday</v>
      </c>
      <c r="E214" t="s">
        <v>16</v>
      </c>
      <c r="F214" s="11">
        <v>5</v>
      </c>
      <c r="G214">
        <v>200</v>
      </c>
      <c r="H214" s="8" t="s">
        <v>17</v>
      </c>
      <c r="I214" s="8" t="s">
        <v>36</v>
      </c>
      <c r="J214" s="7" t="s">
        <v>34</v>
      </c>
      <c r="K214" t="s">
        <v>19</v>
      </c>
      <c r="L214" t="str" cm="1">
        <f t="array" ref="L214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214" s="12">
        <f>Table1[[#This Row],[Price]]*Table1[[#This Row],[Quantity]]</f>
        <v>1000</v>
      </c>
      <c r="N214" s="12" t="str" cm="1">
        <f t="array" ref="N214">_xlfn.IFS(Table1[[#This Row],[Revenue]]&lt;=3267,"Low Sales",Table1[[#This Row],[Revenue]]&lt;=6534,"Fair Sales",Table1[[#This Row],[Revenue]]&gt;6534,"High Sales")</f>
        <v>Low Sales</v>
      </c>
    </row>
    <row r="215" spans="1:14" ht="15.75" x14ac:dyDescent="0.25">
      <c r="A215" s="9">
        <v>10670</v>
      </c>
      <c r="B215" s="4">
        <v>44916</v>
      </c>
      <c r="C215" s="4" t="str">
        <f>TEXT(Table1[[#This Row],[Date]],"mmmm")</f>
        <v>December</v>
      </c>
      <c r="D215" s="4" t="str">
        <f>TEXT(Table1[[#This Row],[Date]],"dddd")</f>
        <v>Wednesday</v>
      </c>
      <c r="E215" t="s">
        <v>20</v>
      </c>
      <c r="F215" s="11">
        <v>13</v>
      </c>
      <c r="G215">
        <v>677</v>
      </c>
      <c r="H215" s="8" t="s">
        <v>17</v>
      </c>
      <c r="I215" s="8" t="s">
        <v>36</v>
      </c>
      <c r="J215" s="7" t="s">
        <v>34</v>
      </c>
      <c r="K215" t="s">
        <v>19</v>
      </c>
      <c r="L215" t="str" cm="1">
        <f t="array" ref="L215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215" s="12">
        <f>Table1[[#This Row],[Price]]*Table1[[#This Row],[Quantity]]</f>
        <v>8801</v>
      </c>
      <c r="N215" s="12" t="str" cm="1">
        <f t="array" ref="N215">_xlfn.IFS(Table1[[#This Row],[Revenue]]&lt;=3267,"Low Sales",Table1[[#This Row],[Revenue]]&lt;=6534,"Fair Sales",Table1[[#This Row],[Revenue]]&gt;6534,"High Sales")</f>
        <v>High Sales</v>
      </c>
    </row>
    <row r="216" spans="1:14" ht="15.75" x14ac:dyDescent="0.25">
      <c r="A216" s="9">
        <v>10671</v>
      </c>
      <c r="B216" s="4">
        <v>44916</v>
      </c>
      <c r="C216" s="4" t="str">
        <f>TEXT(Table1[[#This Row],[Date]],"mmmm")</f>
        <v>December</v>
      </c>
      <c r="D216" s="4" t="str">
        <f>TEXT(Table1[[#This Row],[Date]],"dddd")</f>
        <v>Wednesday</v>
      </c>
      <c r="E216" t="s">
        <v>24</v>
      </c>
      <c r="F216" s="11">
        <v>10</v>
      </c>
      <c r="G216">
        <v>221</v>
      </c>
      <c r="H216" s="8" t="s">
        <v>17</v>
      </c>
      <c r="I216" s="8" t="s">
        <v>36</v>
      </c>
      <c r="J216" s="7" t="s">
        <v>34</v>
      </c>
      <c r="K216" t="s">
        <v>19</v>
      </c>
      <c r="L216" t="str" cm="1">
        <f t="array" ref="L216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216" s="12">
        <f>Table1[[#This Row],[Price]]*Table1[[#This Row],[Quantity]]</f>
        <v>2210</v>
      </c>
      <c r="N216" s="12" t="str" cm="1">
        <f t="array" ref="N216">_xlfn.IFS(Table1[[#This Row],[Revenue]]&lt;=3267,"Low Sales",Table1[[#This Row],[Revenue]]&lt;=6534,"Fair Sales",Table1[[#This Row],[Revenue]]&gt;6534,"High Sales")</f>
        <v>Low Sales</v>
      </c>
    </row>
    <row r="217" spans="1:14" ht="15.75" x14ac:dyDescent="0.25">
      <c r="A217" s="9">
        <v>10672</v>
      </c>
      <c r="B217" s="4">
        <v>44916</v>
      </c>
      <c r="C217" s="4" t="str">
        <f>TEXT(Table1[[#This Row],[Date]],"mmmm")</f>
        <v>December</v>
      </c>
      <c r="D217" s="4" t="str">
        <f>TEXT(Table1[[#This Row],[Date]],"dddd")</f>
        <v>Wednesday</v>
      </c>
      <c r="E217" t="s">
        <v>8</v>
      </c>
      <c r="F217" s="11">
        <v>4</v>
      </c>
      <c r="G217">
        <v>630</v>
      </c>
      <c r="H217" s="8" t="s">
        <v>17</v>
      </c>
      <c r="I217" s="8" t="s">
        <v>36</v>
      </c>
      <c r="J217" s="7" t="s">
        <v>34</v>
      </c>
      <c r="K217" t="s">
        <v>19</v>
      </c>
      <c r="L217" t="str" cm="1">
        <f t="array" ref="L217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217" s="12">
        <f>Table1[[#This Row],[Price]]*Table1[[#This Row],[Quantity]]</f>
        <v>2520</v>
      </c>
      <c r="N217" s="12" t="str" cm="1">
        <f t="array" ref="N217">_xlfn.IFS(Table1[[#This Row],[Revenue]]&lt;=3267,"Low Sales",Table1[[#This Row],[Revenue]]&lt;=6534,"Fair Sales",Table1[[#This Row],[Revenue]]&gt;6534,"High Sales")</f>
        <v>Low Sales</v>
      </c>
    </row>
    <row r="218" spans="1:14" ht="15.75" x14ac:dyDescent="0.25">
      <c r="A218" s="9">
        <v>10673</v>
      </c>
      <c r="B218" s="4">
        <v>44916</v>
      </c>
      <c r="C218" s="4" t="str">
        <f>TEXT(Table1[[#This Row],[Date]],"mmmm")</f>
        <v>December</v>
      </c>
      <c r="D218" s="4" t="str">
        <f>TEXT(Table1[[#This Row],[Date]],"dddd")</f>
        <v>Wednesday</v>
      </c>
      <c r="E218" t="s">
        <v>13</v>
      </c>
      <c r="F218" s="11">
        <v>3</v>
      </c>
      <c r="G218">
        <v>746</v>
      </c>
      <c r="H218" s="8" t="s">
        <v>17</v>
      </c>
      <c r="I218" s="8" t="s">
        <v>36</v>
      </c>
      <c r="J218" s="7" t="s">
        <v>34</v>
      </c>
      <c r="K218" t="s">
        <v>19</v>
      </c>
      <c r="L218" t="str" cm="1">
        <f t="array" ref="L218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218" s="12">
        <f>Table1[[#This Row],[Price]]*Table1[[#This Row],[Quantity]]</f>
        <v>2238</v>
      </c>
      <c r="N218" s="12" t="str" cm="1">
        <f t="array" ref="N218">_xlfn.IFS(Table1[[#This Row],[Revenue]]&lt;=3267,"Low Sales",Table1[[#This Row],[Revenue]]&lt;=6534,"Fair Sales",Table1[[#This Row],[Revenue]]&gt;6534,"High Sales")</f>
        <v>Low Sales</v>
      </c>
    </row>
    <row r="219" spans="1:14" ht="15.75" x14ac:dyDescent="0.25">
      <c r="A219" s="9">
        <v>10674</v>
      </c>
      <c r="B219" s="4">
        <v>44916</v>
      </c>
      <c r="C219" s="4" t="str">
        <f>TEXT(Table1[[#This Row],[Date]],"mmmm")</f>
        <v>December</v>
      </c>
      <c r="D219" s="4" t="str">
        <f>TEXT(Table1[[#This Row],[Date]],"dddd")</f>
        <v>Wednesday</v>
      </c>
      <c r="E219" t="s">
        <v>16</v>
      </c>
      <c r="F219" s="11">
        <v>5</v>
      </c>
      <c r="G219">
        <v>200</v>
      </c>
      <c r="H219" s="8" t="s">
        <v>17</v>
      </c>
      <c r="I219" s="8" t="s">
        <v>36</v>
      </c>
      <c r="J219" s="7" t="s">
        <v>34</v>
      </c>
      <c r="K219" t="s">
        <v>19</v>
      </c>
      <c r="L219" t="str" cm="1">
        <f t="array" ref="L219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219" s="12">
        <f>Table1[[#This Row],[Price]]*Table1[[#This Row],[Quantity]]</f>
        <v>1000</v>
      </c>
      <c r="N219" s="12" t="str" cm="1">
        <f t="array" ref="N219">_xlfn.IFS(Table1[[#This Row],[Revenue]]&lt;=3267,"Low Sales",Table1[[#This Row],[Revenue]]&lt;=6534,"Fair Sales",Table1[[#This Row],[Revenue]]&gt;6534,"High Sales")</f>
        <v>Low Sales</v>
      </c>
    </row>
    <row r="220" spans="1:14" ht="15.75" x14ac:dyDescent="0.25">
      <c r="A220" s="9">
        <v>10675</v>
      </c>
      <c r="B220" s="4">
        <v>44917</v>
      </c>
      <c r="C220" s="4" t="str">
        <f>TEXT(Table1[[#This Row],[Date]],"mmmm")</f>
        <v>December</v>
      </c>
      <c r="D220" s="4" t="str">
        <f>TEXT(Table1[[#This Row],[Date]],"dddd")</f>
        <v>Thursday</v>
      </c>
      <c r="E220" t="s">
        <v>20</v>
      </c>
      <c r="F220" s="11">
        <v>13</v>
      </c>
      <c r="G220">
        <v>677</v>
      </c>
      <c r="H220" s="8" t="s">
        <v>17</v>
      </c>
      <c r="I220" s="8" t="s">
        <v>36</v>
      </c>
      <c r="J220" s="7" t="s">
        <v>34</v>
      </c>
      <c r="K220" t="s">
        <v>19</v>
      </c>
      <c r="L220" t="str" cm="1">
        <f t="array" ref="L220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220" s="12">
        <f>Table1[[#This Row],[Price]]*Table1[[#This Row],[Quantity]]</f>
        <v>8801</v>
      </c>
      <c r="N220" s="12" t="str" cm="1">
        <f t="array" ref="N220">_xlfn.IFS(Table1[[#This Row],[Revenue]]&lt;=3267,"Low Sales",Table1[[#This Row],[Revenue]]&lt;=6534,"Fair Sales",Table1[[#This Row],[Revenue]]&gt;6534,"High Sales")</f>
        <v>High Sales</v>
      </c>
    </row>
    <row r="221" spans="1:14" ht="15.75" x14ac:dyDescent="0.25">
      <c r="A221" s="9">
        <v>10676</v>
      </c>
      <c r="B221" s="4">
        <v>44917</v>
      </c>
      <c r="C221" s="4" t="str">
        <f>TEXT(Table1[[#This Row],[Date]],"mmmm")</f>
        <v>December</v>
      </c>
      <c r="D221" s="4" t="str">
        <f>TEXT(Table1[[#This Row],[Date]],"dddd")</f>
        <v>Thursday</v>
      </c>
      <c r="E221" t="s">
        <v>24</v>
      </c>
      <c r="F221" s="11">
        <v>10</v>
      </c>
      <c r="G221">
        <v>241</v>
      </c>
      <c r="H221" s="8" t="s">
        <v>17</v>
      </c>
      <c r="I221" s="8" t="s">
        <v>36</v>
      </c>
      <c r="J221" s="7" t="s">
        <v>34</v>
      </c>
      <c r="K221" t="s">
        <v>19</v>
      </c>
      <c r="L221" t="str" cm="1">
        <f t="array" ref="L221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221" s="12">
        <f>Table1[[#This Row],[Price]]*Table1[[#This Row],[Quantity]]</f>
        <v>2410</v>
      </c>
      <c r="N221" s="12" t="str" cm="1">
        <f t="array" ref="N221">_xlfn.IFS(Table1[[#This Row],[Revenue]]&lt;=3267,"Low Sales",Table1[[#This Row],[Revenue]]&lt;=6534,"Fair Sales",Table1[[#This Row],[Revenue]]&gt;6534,"High Sales")</f>
        <v>Low Sales</v>
      </c>
    </row>
    <row r="222" spans="1:14" ht="15.75" x14ac:dyDescent="0.25">
      <c r="A222" s="9">
        <v>10677</v>
      </c>
      <c r="B222" s="4">
        <v>44917</v>
      </c>
      <c r="C222" s="4" t="str">
        <f>TEXT(Table1[[#This Row],[Date]],"mmmm")</f>
        <v>December</v>
      </c>
      <c r="D222" s="4" t="str">
        <f>TEXT(Table1[[#This Row],[Date]],"dddd")</f>
        <v>Thursday</v>
      </c>
      <c r="E222" t="s">
        <v>8</v>
      </c>
      <c r="F222" s="11">
        <v>4</v>
      </c>
      <c r="G222">
        <v>630</v>
      </c>
      <c r="H222" s="8" t="s">
        <v>17</v>
      </c>
      <c r="I222" s="8" t="s">
        <v>36</v>
      </c>
      <c r="J222" s="7" t="s">
        <v>34</v>
      </c>
      <c r="K222" t="s">
        <v>19</v>
      </c>
      <c r="L222" t="str" cm="1">
        <f t="array" ref="L222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222" s="12">
        <f>Table1[[#This Row],[Price]]*Table1[[#This Row],[Quantity]]</f>
        <v>2520</v>
      </c>
      <c r="N222" s="12" t="str" cm="1">
        <f t="array" ref="N222">_xlfn.IFS(Table1[[#This Row],[Revenue]]&lt;=3267,"Low Sales",Table1[[#This Row],[Revenue]]&lt;=6534,"Fair Sales",Table1[[#This Row],[Revenue]]&gt;6534,"High Sales")</f>
        <v>Low Sales</v>
      </c>
    </row>
    <row r="223" spans="1:14" ht="15.75" x14ac:dyDescent="0.25">
      <c r="A223" s="9">
        <v>10678</v>
      </c>
      <c r="B223" s="4">
        <v>44917</v>
      </c>
      <c r="C223" s="4" t="str">
        <f>TEXT(Table1[[#This Row],[Date]],"mmmm")</f>
        <v>December</v>
      </c>
      <c r="D223" s="4" t="str">
        <f>TEXT(Table1[[#This Row],[Date]],"dddd")</f>
        <v>Thursday</v>
      </c>
      <c r="E223" t="s">
        <v>13</v>
      </c>
      <c r="F223" s="11">
        <v>3</v>
      </c>
      <c r="G223">
        <v>746</v>
      </c>
      <c r="H223" s="8" t="s">
        <v>17</v>
      </c>
      <c r="I223" s="8" t="s">
        <v>36</v>
      </c>
      <c r="J223" s="7" t="s">
        <v>34</v>
      </c>
      <c r="K223" t="s">
        <v>19</v>
      </c>
      <c r="L223" t="str" cm="1">
        <f t="array" ref="L223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223" s="12">
        <f>Table1[[#This Row],[Price]]*Table1[[#This Row],[Quantity]]</f>
        <v>2238</v>
      </c>
      <c r="N223" s="12" t="str" cm="1">
        <f t="array" ref="N223">_xlfn.IFS(Table1[[#This Row],[Revenue]]&lt;=3267,"Low Sales",Table1[[#This Row],[Revenue]]&lt;=6534,"Fair Sales",Table1[[#This Row],[Revenue]]&gt;6534,"High Sales")</f>
        <v>Low Sales</v>
      </c>
    </row>
    <row r="224" spans="1:14" ht="15.75" x14ac:dyDescent="0.25">
      <c r="A224" s="9">
        <v>10679</v>
      </c>
      <c r="B224" s="4">
        <v>44917</v>
      </c>
      <c r="C224" s="4" t="str">
        <f>TEXT(Table1[[#This Row],[Date]],"mmmm")</f>
        <v>December</v>
      </c>
      <c r="D224" s="4" t="str">
        <f>TEXT(Table1[[#This Row],[Date]],"dddd")</f>
        <v>Thursday</v>
      </c>
      <c r="E224" t="s">
        <v>16</v>
      </c>
      <c r="F224" s="11">
        <v>5</v>
      </c>
      <c r="G224">
        <v>200</v>
      </c>
      <c r="H224" s="8" t="s">
        <v>17</v>
      </c>
      <c r="I224" s="8" t="s">
        <v>36</v>
      </c>
      <c r="J224" s="7" t="s">
        <v>34</v>
      </c>
      <c r="K224" t="s">
        <v>19</v>
      </c>
      <c r="L224" t="str" cm="1">
        <f t="array" ref="L224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224" s="12">
        <f>Table1[[#This Row],[Price]]*Table1[[#This Row],[Quantity]]</f>
        <v>1000</v>
      </c>
      <c r="N224" s="12" t="str" cm="1">
        <f t="array" ref="N224">_xlfn.IFS(Table1[[#This Row],[Revenue]]&lt;=3267,"Low Sales",Table1[[#This Row],[Revenue]]&lt;=6534,"Fair Sales",Table1[[#This Row],[Revenue]]&gt;6534,"High Sales")</f>
        <v>Low Sales</v>
      </c>
    </row>
    <row r="225" spans="1:14" ht="15.75" x14ac:dyDescent="0.25">
      <c r="A225" s="9">
        <v>10680</v>
      </c>
      <c r="B225" s="4">
        <v>44918</v>
      </c>
      <c r="C225" s="4" t="str">
        <f>TEXT(Table1[[#This Row],[Date]],"mmmm")</f>
        <v>December</v>
      </c>
      <c r="D225" s="4" t="str">
        <f>TEXT(Table1[[#This Row],[Date]],"dddd")</f>
        <v>Friday</v>
      </c>
      <c r="E225" t="s">
        <v>20</v>
      </c>
      <c r="F225" s="11">
        <v>13</v>
      </c>
      <c r="G225">
        <v>647</v>
      </c>
      <c r="H225" s="8" t="s">
        <v>17</v>
      </c>
      <c r="I225" s="8" t="s">
        <v>36</v>
      </c>
      <c r="J225" s="7" t="s">
        <v>34</v>
      </c>
      <c r="K225" t="s">
        <v>19</v>
      </c>
      <c r="L225" t="str" cm="1">
        <f t="array" ref="L225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225" s="12">
        <f>Table1[[#This Row],[Price]]*Table1[[#This Row],[Quantity]]</f>
        <v>8411</v>
      </c>
      <c r="N225" s="12" t="str" cm="1">
        <f t="array" ref="N225">_xlfn.IFS(Table1[[#This Row],[Revenue]]&lt;=3267,"Low Sales",Table1[[#This Row],[Revenue]]&lt;=6534,"Fair Sales",Table1[[#This Row],[Revenue]]&gt;6534,"High Sales")</f>
        <v>High Sales</v>
      </c>
    </row>
    <row r="226" spans="1:14" ht="15.75" x14ac:dyDescent="0.25">
      <c r="A226" s="9">
        <v>10681</v>
      </c>
      <c r="B226" s="4">
        <v>44918</v>
      </c>
      <c r="C226" s="4" t="str">
        <f>TEXT(Table1[[#This Row],[Date]],"mmmm")</f>
        <v>December</v>
      </c>
      <c r="D226" s="4" t="str">
        <f>TEXT(Table1[[#This Row],[Date]],"dddd")</f>
        <v>Friday</v>
      </c>
      <c r="E226" t="s">
        <v>24</v>
      </c>
      <c r="F226" s="11">
        <v>10</v>
      </c>
      <c r="G226">
        <v>241</v>
      </c>
      <c r="H226" s="8" t="s">
        <v>17</v>
      </c>
      <c r="I226" s="8" t="s">
        <v>36</v>
      </c>
      <c r="J226" s="7" t="s">
        <v>34</v>
      </c>
      <c r="K226" t="s">
        <v>19</v>
      </c>
      <c r="L226" t="str" cm="1">
        <f t="array" ref="L226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226" s="12">
        <f>Table1[[#This Row],[Price]]*Table1[[#This Row],[Quantity]]</f>
        <v>2410</v>
      </c>
      <c r="N226" s="12" t="str" cm="1">
        <f t="array" ref="N226">_xlfn.IFS(Table1[[#This Row],[Revenue]]&lt;=3267,"Low Sales",Table1[[#This Row],[Revenue]]&lt;=6534,"Fair Sales",Table1[[#This Row],[Revenue]]&gt;6534,"High Sales")</f>
        <v>Low Sales</v>
      </c>
    </row>
    <row r="227" spans="1:14" ht="15.75" x14ac:dyDescent="0.25">
      <c r="A227" s="9">
        <v>10682</v>
      </c>
      <c r="B227" s="4">
        <v>44918</v>
      </c>
      <c r="C227" s="4" t="str">
        <f>TEXT(Table1[[#This Row],[Date]],"mmmm")</f>
        <v>December</v>
      </c>
      <c r="D227" s="4" t="str">
        <f>TEXT(Table1[[#This Row],[Date]],"dddd")</f>
        <v>Friday</v>
      </c>
      <c r="E227" t="s">
        <v>8</v>
      </c>
      <c r="F227" s="11">
        <v>4</v>
      </c>
      <c r="G227">
        <v>630</v>
      </c>
      <c r="H227" s="8" t="s">
        <v>17</v>
      </c>
      <c r="I227" s="8" t="s">
        <v>36</v>
      </c>
      <c r="J227" s="7" t="s">
        <v>34</v>
      </c>
      <c r="K227" t="s">
        <v>19</v>
      </c>
      <c r="L227" t="str" cm="1">
        <f t="array" ref="L227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227" s="12">
        <f>Table1[[#This Row],[Price]]*Table1[[#This Row],[Quantity]]</f>
        <v>2520</v>
      </c>
      <c r="N227" s="12" t="str" cm="1">
        <f t="array" ref="N227">_xlfn.IFS(Table1[[#This Row],[Revenue]]&lt;=3267,"Low Sales",Table1[[#This Row],[Revenue]]&lt;=6534,"Fair Sales",Table1[[#This Row],[Revenue]]&gt;6534,"High Sales")</f>
        <v>Low Sales</v>
      </c>
    </row>
    <row r="228" spans="1:14" ht="15.75" x14ac:dyDescent="0.25">
      <c r="A228" s="9">
        <v>10683</v>
      </c>
      <c r="B228" s="4">
        <v>44918</v>
      </c>
      <c r="C228" s="4" t="str">
        <f>TEXT(Table1[[#This Row],[Date]],"mmmm")</f>
        <v>December</v>
      </c>
      <c r="D228" s="4" t="str">
        <f>TEXT(Table1[[#This Row],[Date]],"dddd")</f>
        <v>Friday</v>
      </c>
      <c r="E228" t="s">
        <v>13</v>
      </c>
      <c r="F228" s="11">
        <v>3</v>
      </c>
      <c r="G228">
        <v>678</v>
      </c>
      <c r="H228" s="8" t="s">
        <v>17</v>
      </c>
      <c r="I228" s="8" t="s">
        <v>36</v>
      </c>
      <c r="J228" s="7" t="s">
        <v>34</v>
      </c>
      <c r="K228" t="s">
        <v>19</v>
      </c>
      <c r="L228" t="str" cm="1">
        <f t="array" ref="L228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228" s="12">
        <f>Table1[[#This Row],[Price]]*Table1[[#This Row],[Quantity]]</f>
        <v>2034</v>
      </c>
      <c r="N228" s="12" t="str" cm="1">
        <f t="array" ref="N228">_xlfn.IFS(Table1[[#This Row],[Revenue]]&lt;=3267,"Low Sales",Table1[[#This Row],[Revenue]]&lt;=6534,"Fair Sales",Table1[[#This Row],[Revenue]]&gt;6534,"High Sales")</f>
        <v>Low Sales</v>
      </c>
    </row>
    <row r="229" spans="1:14" ht="15.75" x14ac:dyDescent="0.25">
      <c r="A229" s="9">
        <v>10684</v>
      </c>
      <c r="B229" s="4">
        <v>44918</v>
      </c>
      <c r="C229" s="4" t="str">
        <f>TEXT(Table1[[#This Row],[Date]],"mmmm")</f>
        <v>December</v>
      </c>
      <c r="D229" s="4" t="str">
        <f>TEXT(Table1[[#This Row],[Date]],"dddd")</f>
        <v>Friday</v>
      </c>
      <c r="E229" t="s">
        <v>16</v>
      </c>
      <c r="F229" s="11">
        <v>5</v>
      </c>
      <c r="G229">
        <v>200</v>
      </c>
      <c r="H229" s="8" t="s">
        <v>17</v>
      </c>
      <c r="I229" s="8" t="s">
        <v>36</v>
      </c>
      <c r="J229" s="7" t="s">
        <v>34</v>
      </c>
      <c r="K229" t="s">
        <v>19</v>
      </c>
      <c r="L229" t="str" cm="1">
        <f t="array" ref="L229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229" s="12">
        <f>Table1[[#This Row],[Price]]*Table1[[#This Row],[Quantity]]</f>
        <v>1000</v>
      </c>
      <c r="N229" s="12" t="str" cm="1">
        <f t="array" ref="N229">_xlfn.IFS(Table1[[#This Row],[Revenue]]&lt;=3267,"Low Sales",Table1[[#This Row],[Revenue]]&lt;=6534,"Fair Sales",Table1[[#This Row],[Revenue]]&gt;6534,"High Sales")</f>
        <v>Low Sales</v>
      </c>
    </row>
    <row r="230" spans="1:14" ht="15.75" x14ac:dyDescent="0.25">
      <c r="A230" s="9">
        <v>10685</v>
      </c>
      <c r="B230" s="4">
        <v>44919</v>
      </c>
      <c r="C230" s="4" t="str">
        <f>TEXT(Table1[[#This Row],[Date]],"mmmm")</f>
        <v>December</v>
      </c>
      <c r="D230" s="4" t="str">
        <f>TEXT(Table1[[#This Row],[Date]],"dddd")</f>
        <v>Saturday</v>
      </c>
      <c r="E230" t="s">
        <v>20</v>
      </c>
      <c r="F230" s="11">
        <v>13</v>
      </c>
      <c r="G230">
        <v>677</v>
      </c>
      <c r="H230" s="8" t="s">
        <v>17</v>
      </c>
      <c r="I230" s="8" t="s">
        <v>36</v>
      </c>
      <c r="J230" s="7" t="s">
        <v>34</v>
      </c>
      <c r="K230" t="s">
        <v>19</v>
      </c>
      <c r="L230" t="str" cm="1">
        <f t="array" ref="L230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230" s="12">
        <f>Table1[[#This Row],[Price]]*Table1[[#This Row],[Quantity]]</f>
        <v>8801</v>
      </c>
      <c r="N230" s="12" t="str" cm="1">
        <f t="array" ref="N230">_xlfn.IFS(Table1[[#This Row],[Revenue]]&lt;=3267,"Low Sales",Table1[[#This Row],[Revenue]]&lt;=6534,"Fair Sales",Table1[[#This Row],[Revenue]]&gt;6534,"High Sales")</f>
        <v>High Sales</v>
      </c>
    </row>
    <row r="231" spans="1:14" ht="15.75" x14ac:dyDescent="0.25">
      <c r="A231" s="9">
        <v>10686</v>
      </c>
      <c r="B231" s="4">
        <v>44919</v>
      </c>
      <c r="C231" s="4" t="str">
        <f>TEXT(Table1[[#This Row],[Date]],"mmmm")</f>
        <v>December</v>
      </c>
      <c r="D231" s="4" t="str">
        <f>TEXT(Table1[[#This Row],[Date]],"dddd")</f>
        <v>Saturday</v>
      </c>
      <c r="E231" t="s">
        <v>24</v>
      </c>
      <c r="F231" s="11">
        <v>10</v>
      </c>
      <c r="G231">
        <v>241</v>
      </c>
      <c r="H231" s="8" t="s">
        <v>17</v>
      </c>
      <c r="I231" s="8" t="s">
        <v>36</v>
      </c>
      <c r="J231" s="7" t="s">
        <v>34</v>
      </c>
      <c r="K231" t="s">
        <v>19</v>
      </c>
      <c r="L231" t="str" cm="1">
        <f t="array" ref="L231">_xlfn.IFS(Table1[[#This Row],[City]]="Berlin","Germany",Table1[[#This Row],[City]]="Lisbon","Portugal",Table1[[#This Row],[City]]="London","United Kingdom",Table1[[#This Row],[City]]="Madrid","Spain",Table1[[#This Row],[City]]="Paris","France")</f>
        <v>Portugal</v>
      </c>
      <c r="M231" s="12">
        <f>Table1[[#This Row],[Price]]*Table1[[#This Row],[Quantity]]</f>
        <v>2410</v>
      </c>
      <c r="N231" s="12" t="str" cm="1">
        <f t="array" ref="N231">_xlfn.IFS(Table1[[#This Row],[Revenue]]&lt;=3267,"Low Sales",Table1[[#This Row],[Revenue]]&lt;=6534,"Fair Sales",Table1[[#This Row],[Revenue]]&gt;6534,"High Sales")</f>
        <v>Low Sales</v>
      </c>
    </row>
    <row r="232" spans="1:14" x14ac:dyDescent="0.25">
      <c r="A232" s="9">
        <v>10687</v>
      </c>
      <c r="B232" s="4">
        <v>44919</v>
      </c>
      <c r="C232" s="4" t="str">
        <f>TEXT(Table1[[#This Row],[Date]],"mmmm")</f>
        <v>December</v>
      </c>
      <c r="D232" s="4" t="str">
        <f>TEXT(Table1[[#This Row],[Date]],"dddd")</f>
        <v>Saturday</v>
      </c>
      <c r="E232" t="s">
        <v>8</v>
      </c>
      <c r="F232" s="11">
        <v>4</v>
      </c>
      <c r="G232">
        <v>630</v>
      </c>
      <c r="H232" s="8" t="s">
        <v>17</v>
      </c>
      <c r="I232" s="8" t="s">
        <v>36</v>
      </c>
      <c r="J232" t="s">
        <v>22</v>
      </c>
      <c r="K232" t="s">
        <v>23</v>
      </c>
      <c r="L232" t="str" cm="1">
        <f t="array" ref="L232">_xlfn.IFS(Table1[[#This Row],[City]]="Berlin","Germany",Table1[[#This Row],[City]]="Lisbon","Portugal",Table1[[#This Row],[City]]="London","United Kingdom",Table1[[#This Row],[City]]="Madrid","Spain",Table1[[#This Row],[City]]="Paris","France")</f>
        <v>Germany</v>
      </c>
      <c r="M232" s="12">
        <f>Table1[[#This Row],[Price]]*Table1[[#This Row],[Quantity]]</f>
        <v>2520</v>
      </c>
      <c r="N232" s="12" t="str" cm="1">
        <f t="array" ref="N232">_xlfn.IFS(Table1[[#This Row],[Revenue]]&lt;=3267,"Low Sales",Table1[[#This Row],[Revenue]]&lt;=6534,"Fair Sales",Table1[[#This Row],[Revenue]]&gt;6534,"High Sales")</f>
        <v>Low Sales</v>
      </c>
    </row>
    <row r="233" spans="1:14" x14ac:dyDescent="0.25">
      <c r="A233" s="9">
        <v>10688</v>
      </c>
      <c r="B233" s="4">
        <v>44919</v>
      </c>
      <c r="C233" s="4" t="str">
        <f>TEXT(Table1[[#This Row],[Date]],"mmmm")</f>
        <v>December</v>
      </c>
      <c r="D233" s="4" t="str">
        <f>TEXT(Table1[[#This Row],[Date]],"dddd")</f>
        <v>Saturday</v>
      </c>
      <c r="E233" t="s">
        <v>13</v>
      </c>
      <c r="F233" s="11">
        <v>3</v>
      </c>
      <c r="G233">
        <v>678</v>
      </c>
      <c r="H233" s="8" t="s">
        <v>17</v>
      </c>
      <c r="I233" s="8" t="s">
        <v>36</v>
      </c>
      <c r="J233" t="s">
        <v>22</v>
      </c>
      <c r="K233" t="s">
        <v>23</v>
      </c>
      <c r="L233" t="str" cm="1">
        <f t="array" ref="L233">_xlfn.IFS(Table1[[#This Row],[City]]="Berlin","Germany",Table1[[#This Row],[City]]="Lisbon","Portugal",Table1[[#This Row],[City]]="London","United Kingdom",Table1[[#This Row],[City]]="Madrid","Spain",Table1[[#This Row],[City]]="Paris","France")</f>
        <v>Germany</v>
      </c>
      <c r="M233" s="12">
        <f>Table1[[#This Row],[Price]]*Table1[[#This Row],[Quantity]]</f>
        <v>2034</v>
      </c>
      <c r="N233" s="12" t="str" cm="1">
        <f t="array" ref="N233">_xlfn.IFS(Table1[[#This Row],[Revenue]]&lt;=3267,"Low Sales",Table1[[#This Row],[Revenue]]&lt;=6534,"Fair Sales",Table1[[#This Row],[Revenue]]&gt;6534,"High Sales")</f>
        <v>Low Sales</v>
      </c>
    </row>
    <row r="234" spans="1:14" x14ac:dyDescent="0.25">
      <c r="A234" s="9">
        <v>10689</v>
      </c>
      <c r="B234" s="4">
        <v>44919</v>
      </c>
      <c r="C234" s="4" t="str">
        <f>TEXT(Table1[[#This Row],[Date]],"mmmm")</f>
        <v>December</v>
      </c>
      <c r="D234" s="4" t="str">
        <f>TEXT(Table1[[#This Row],[Date]],"dddd")</f>
        <v>Saturday</v>
      </c>
      <c r="E234" t="s">
        <v>16</v>
      </c>
      <c r="F234" s="11">
        <v>5</v>
      </c>
      <c r="G234">
        <v>200</v>
      </c>
      <c r="H234" s="8" t="s">
        <v>17</v>
      </c>
      <c r="I234" s="8" t="s">
        <v>36</v>
      </c>
      <c r="J234" t="s">
        <v>22</v>
      </c>
      <c r="K234" t="s">
        <v>23</v>
      </c>
      <c r="L234" t="str" cm="1">
        <f t="array" ref="L234">_xlfn.IFS(Table1[[#This Row],[City]]="Berlin","Germany",Table1[[#This Row],[City]]="Lisbon","Portugal",Table1[[#This Row],[City]]="London","United Kingdom",Table1[[#This Row],[City]]="Madrid","Spain",Table1[[#This Row],[City]]="Paris","France")</f>
        <v>Germany</v>
      </c>
      <c r="M234" s="12">
        <f>Table1[[#This Row],[Price]]*Table1[[#This Row],[Quantity]]</f>
        <v>1000</v>
      </c>
      <c r="N234" s="12" t="str" cm="1">
        <f t="array" ref="N234">_xlfn.IFS(Table1[[#This Row],[Revenue]]&lt;=3267,"Low Sales",Table1[[#This Row],[Revenue]]&lt;=6534,"Fair Sales",Table1[[#This Row],[Revenue]]&gt;6534,"High Sales")</f>
        <v>Low Sales</v>
      </c>
    </row>
    <row r="235" spans="1:14" x14ac:dyDescent="0.25">
      <c r="A235" s="9">
        <v>10690</v>
      </c>
      <c r="B235" s="4">
        <v>44920</v>
      </c>
      <c r="C235" s="4" t="str">
        <f>TEXT(Table1[[#This Row],[Date]],"mmmm")</f>
        <v>December</v>
      </c>
      <c r="D235" s="4" t="str">
        <f>TEXT(Table1[[#This Row],[Date]],"dddd")</f>
        <v>Sunday</v>
      </c>
      <c r="E235" t="s">
        <v>20</v>
      </c>
      <c r="F235" s="11">
        <v>13</v>
      </c>
      <c r="G235">
        <v>677</v>
      </c>
      <c r="H235" s="8" t="s">
        <v>17</v>
      </c>
      <c r="I235" s="8" t="s">
        <v>36</v>
      </c>
      <c r="J235" t="s">
        <v>22</v>
      </c>
      <c r="K235" t="s">
        <v>23</v>
      </c>
      <c r="L235" t="str" cm="1">
        <f t="array" ref="L235">_xlfn.IFS(Table1[[#This Row],[City]]="Berlin","Germany",Table1[[#This Row],[City]]="Lisbon","Portugal",Table1[[#This Row],[City]]="London","United Kingdom",Table1[[#This Row],[City]]="Madrid","Spain",Table1[[#This Row],[City]]="Paris","France")</f>
        <v>Germany</v>
      </c>
      <c r="M235" s="12">
        <f>Table1[[#This Row],[Price]]*Table1[[#This Row],[Quantity]]</f>
        <v>8801</v>
      </c>
      <c r="N235" s="12" t="str" cm="1">
        <f t="array" ref="N235">_xlfn.IFS(Table1[[#This Row],[Revenue]]&lt;=3267,"Low Sales",Table1[[#This Row],[Revenue]]&lt;=6534,"Fair Sales",Table1[[#This Row],[Revenue]]&gt;6534,"High Sales")</f>
        <v>High Sales</v>
      </c>
    </row>
    <row r="236" spans="1:14" x14ac:dyDescent="0.25">
      <c r="A236" s="9">
        <v>10691</v>
      </c>
      <c r="B236" s="4">
        <v>44920</v>
      </c>
      <c r="C236" s="4" t="str">
        <f>TEXT(Table1[[#This Row],[Date]],"mmmm")</f>
        <v>December</v>
      </c>
      <c r="D236" s="4" t="str">
        <f>TEXT(Table1[[#This Row],[Date]],"dddd")</f>
        <v>Sunday</v>
      </c>
      <c r="E236" t="s">
        <v>24</v>
      </c>
      <c r="F236" s="11">
        <v>10</v>
      </c>
      <c r="G236">
        <v>261</v>
      </c>
      <c r="H236" s="8" t="s">
        <v>17</v>
      </c>
      <c r="I236" s="8" t="s">
        <v>36</v>
      </c>
      <c r="J236" t="s">
        <v>22</v>
      </c>
      <c r="K236" t="s">
        <v>23</v>
      </c>
      <c r="L236" t="str" cm="1">
        <f t="array" ref="L236">_xlfn.IFS(Table1[[#This Row],[City]]="Berlin","Germany",Table1[[#This Row],[City]]="Lisbon","Portugal",Table1[[#This Row],[City]]="London","United Kingdom",Table1[[#This Row],[City]]="Madrid","Spain",Table1[[#This Row],[City]]="Paris","France")</f>
        <v>Germany</v>
      </c>
      <c r="M236" s="12">
        <f>Table1[[#This Row],[Price]]*Table1[[#This Row],[Quantity]]</f>
        <v>2610</v>
      </c>
      <c r="N236" s="12" t="str" cm="1">
        <f t="array" ref="N236">_xlfn.IFS(Table1[[#This Row],[Revenue]]&lt;=3267,"Low Sales",Table1[[#This Row],[Revenue]]&lt;=6534,"Fair Sales",Table1[[#This Row],[Revenue]]&gt;6534,"High Sales")</f>
        <v>Low Sales</v>
      </c>
    </row>
    <row r="237" spans="1:14" x14ac:dyDescent="0.25">
      <c r="A237" s="9">
        <v>10692</v>
      </c>
      <c r="B237" s="4">
        <v>44920</v>
      </c>
      <c r="C237" s="4" t="str">
        <f>TEXT(Table1[[#This Row],[Date]],"mmmm")</f>
        <v>December</v>
      </c>
      <c r="D237" s="4" t="str">
        <f>TEXT(Table1[[#This Row],[Date]],"dddd")</f>
        <v>Sunday</v>
      </c>
      <c r="E237" t="s">
        <v>8</v>
      </c>
      <c r="F237" s="11">
        <v>4</v>
      </c>
      <c r="G237">
        <v>630</v>
      </c>
      <c r="H237" s="8" t="s">
        <v>17</v>
      </c>
      <c r="I237" s="8" t="s">
        <v>36</v>
      </c>
      <c r="J237" t="s">
        <v>22</v>
      </c>
      <c r="K237" t="s">
        <v>23</v>
      </c>
      <c r="L237" t="str" cm="1">
        <f t="array" ref="L237">_xlfn.IFS(Table1[[#This Row],[City]]="Berlin","Germany",Table1[[#This Row],[City]]="Lisbon","Portugal",Table1[[#This Row],[City]]="London","United Kingdom",Table1[[#This Row],[City]]="Madrid","Spain",Table1[[#This Row],[City]]="Paris","France")</f>
        <v>Germany</v>
      </c>
      <c r="M237" s="12">
        <f>Table1[[#This Row],[Price]]*Table1[[#This Row],[Quantity]]</f>
        <v>2520</v>
      </c>
      <c r="N237" s="12" t="str" cm="1">
        <f t="array" ref="N237">_xlfn.IFS(Table1[[#This Row],[Revenue]]&lt;=3267,"Low Sales",Table1[[#This Row],[Revenue]]&lt;=6534,"Fair Sales",Table1[[#This Row],[Revenue]]&gt;6534,"High Sales")</f>
        <v>Low Sales</v>
      </c>
    </row>
    <row r="238" spans="1:14" x14ac:dyDescent="0.25">
      <c r="A238" s="9">
        <v>10693</v>
      </c>
      <c r="B238" s="4">
        <v>44920</v>
      </c>
      <c r="C238" s="4" t="str">
        <f>TEXT(Table1[[#This Row],[Date]],"mmmm")</f>
        <v>December</v>
      </c>
      <c r="D238" s="4" t="str">
        <f>TEXT(Table1[[#This Row],[Date]],"dddd")</f>
        <v>Sunday</v>
      </c>
      <c r="E238" t="s">
        <v>13</v>
      </c>
      <c r="F238" s="11">
        <v>3</v>
      </c>
      <c r="G238">
        <v>678</v>
      </c>
      <c r="H238" s="8" t="s">
        <v>17</v>
      </c>
      <c r="I238" s="8" t="s">
        <v>36</v>
      </c>
      <c r="J238" t="s">
        <v>22</v>
      </c>
      <c r="K238" t="s">
        <v>23</v>
      </c>
      <c r="L238" t="str" cm="1">
        <f t="array" ref="L238">_xlfn.IFS(Table1[[#This Row],[City]]="Berlin","Germany",Table1[[#This Row],[City]]="Lisbon","Portugal",Table1[[#This Row],[City]]="London","United Kingdom",Table1[[#This Row],[City]]="Madrid","Spain",Table1[[#This Row],[City]]="Paris","France")</f>
        <v>Germany</v>
      </c>
      <c r="M238" s="12">
        <f>Table1[[#This Row],[Price]]*Table1[[#This Row],[Quantity]]</f>
        <v>2034</v>
      </c>
      <c r="N238" s="12" t="str" cm="1">
        <f t="array" ref="N238">_xlfn.IFS(Table1[[#This Row],[Revenue]]&lt;=3267,"Low Sales",Table1[[#This Row],[Revenue]]&lt;=6534,"Fair Sales",Table1[[#This Row],[Revenue]]&gt;6534,"High Sales")</f>
        <v>Low Sales</v>
      </c>
    </row>
    <row r="239" spans="1:14" x14ac:dyDescent="0.25">
      <c r="A239" s="9">
        <v>10694</v>
      </c>
      <c r="B239" s="4">
        <v>44920</v>
      </c>
      <c r="C239" s="4" t="str">
        <f>TEXT(Table1[[#This Row],[Date]],"mmmm")</f>
        <v>December</v>
      </c>
      <c r="D239" s="4" t="str">
        <f>TEXT(Table1[[#This Row],[Date]],"dddd")</f>
        <v>Sunday</v>
      </c>
      <c r="E239" t="s">
        <v>16</v>
      </c>
      <c r="F239" s="11">
        <v>5</v>
      </c>
      <c r="G239">
        <v>200</v>
      </c>
      <c r="H239" s="8" t="s">
        <v>17</v>
      </c>
      <c r="I239" s="8" t="s">
        <v>36</v>
      </c>
      <c r="J239" t="s">
        <v>22</v>
      </c>
      <c r="K239" t="s">
        <v>23</v>
      </c>
      <c r="L239" t="str" cm="1">
        <f t="array" ref="L239">_xlfn.IFS(Table1[[#This Row],[City]]="Berlin","Germany",Table1[[#This Row],[City]]="Lisbon","Portugal",Table1[[#This Row],[City]]="London","United Kingdom",Table1[[#This Row],[City]]="Madrid","Spain",Table1[[#This Row],[City]]="Paris","France")</f>
        <v>Germany</v>
      </c>
      <c r="M239" s="12">
        <f>Table1[[#This Row],[Price]]*Table1[[#This Row],[Quantity]]</f>
        <v>1000</v>
      </c>
      <c r="N239" s="12" t="str" cm="1">
        <f t="array" ref="N239">_xlfn.IFS(Table1[[#This Row],[Revenue]]&lt;=3267,"Low Sales",Table1[[#This Row],[Revenue]]&lt;=6534,"Fair Sales",Table1[[#This Row],[Revenue]]&gt;6534,"High Sales")</f>
        <v>Low Sales</v>
      </c>
    </row>
    <row r="240" spans="1:14" x14ac:dyDescent="0.25">
      <c r="A240" s="9">
        <v>10695</v>
      </c>
      <c r="B240" s="4">
        <v>44921</v>
      </c>
      <c r="C240" s="4" t="str">
        <f>TEXT(Table1[[#This Row],[Date]],"mmmm")</f>
        <v>December</v>
      </c>
      <c r="D240" s="4" t="str">
        <f>TEXT(Table1[[#This Row],[Date]],"dddd")</f>
        <v>Monday</v>
      </c>
      <c r="E240" t="s">
        <v>20</v>
      </c>
      <c r="F240" s="11">
        <v>13</v>
      </c>
      <c r="G240">
        <v>693</v>
      </c>
      <c r="H240" s="8" t="s">
        <v>17</v>
      </c>
      <c r="I240" s="8" t="s">
        <v>36</v>
      </c>
      <c r="J240" t="s">
        <v>22</v>
      </c>
      <c r="K240" t="s">
        <v>23</v>
      </c>
      <c r="L240" t="str" cm="1">
        <f t="array" ref="L240">_xlfn.IFS(Table1[[#This Row],[City]]="Berlin","Germany",Table1[[#This Row],[City]]="Lisbon","Portugal",Table1[[#This Row],[City]]="London","United Kingdom",Table1[[#This Row],[City]]="Madrid","Spain",Table1[[#This Row],[City]]="Paris","France")</f>
        <v>Germany</v>
      </c>
      <c r="M240" s="12">
        <f>Table1[[#This Row],[Price]]*Table1[[#This Row],[Quantity]]</f>
        <v>9009</v>
      </c>
      <c r="N240" s="12" t="str" cm="1">
        <f t="array" ref="N240">_xlfn.IFS(Table1[[#This Row],[Revenue]]&lt;=3267,"Low Sales",Table1[[#This Row],[Revenue]]&lt;=6534,"Fair Sales",Table1[[#This Row],[Revenue]]&gt;6534,"High Sales")</f>
        <v>High Sales</v>
      </c>
    </row>
    <row r="241" spans="1:14" x14ac:dyDescent="0.25">
      <c r="A241" s="9">
        <v>10696</v>
      </c>
      <c r="B241" s="4">
        <v>44921</v>
      </c>
      <c r="C241" s="4" t="str">
        <f>TEXT(Table1[[#This Row],[Date]],"mmmm")</f>
        <v>December</v>
      </c>
      <c r="D241" s="4" t="str">
        <f>TEXT(Table1[[#This Row],[Date]],"dddd")</f>
        <v>Monday</v>
      </c>
      <c r="E241" t="s">
        <v>24</v>
      </c>
      <c r="F241" s="11">
        <v>10</v>
      </c>
      <c r="G241">
        <v>281</v>
      </c>
      <c r="H241" s="8" t="s">
        <v>17</v>
      </c>
      <c r="I241" s="8" t="s">
        <v>36</v>
      </c>
      <c r="J241" t="s">
        <v>22</v>
      </c>
      <c r="K241" t="s">
        <v>23</v>
      </c>
      <c r="L241" t="str" cm="1">
        <f t="array" ref="L241">_xlfn.IFS(Table1[[#This Row],[City]]="Berlin","Germany",Table1[[#This Row],[City]]="Lisbon","Portugal",Table1[[#This Row],[City]]="London","United Kingdom",Table1[[#This Row],[City]]="Madrid","Spain",Table1[[#This Row],[City]]="Paris","France")</f>
        <v>Germany</v>
      </c>
      <c r="M241" s="12">
        <f>Table1[[#This Row],[Price]]*Table1[[#This Row],[Quantity]]</f>
        <v>2810</v>
      </c>
      <c r="N241" s="12" t="str" cm="1">
        <f t="array" ref="N241">_xlfn.IFS(Table1[[#This Row],[Revenue]]&lt;=3267,"Low Sales",Table1[[#This Row],[Revenue]]&lt;=6534,"Fair Sales",Table1[[#This Row],[Revenue]]&gt;6534,"High Sales")</f>
        <v>Low Sales</v>
      </c>
    </row>
    <row r="242" spans="1:14" x14ac:dyDescent="0.25">
      <c r="A242" s="9">
        <v>10697</v>
      </c>
      <c r="B242" s="4">
        <v>44921</v>
      </c>
      <c r="C242" s="4" t="str">
        <f>TEXT(Table1[[#This Row],[Date]],"mmmm")</f>
        <v>December</v>
      </c>
      <c r="D242" s="4" t="str">
        <f>TEXT(Table1[[#This Row],[Date]],"dddd")</f>
        <v>Monday</v>
      </c>
      <c r="E242" t="s">
        <v>8</v>
      </c>
      <c r="F242" s="11">
        <v>4</v>
      </c>
      <c r="G242">
        <v>630</v>
      </c>
      <c r="H242" s="8" t="s">
        <v>17</v>
      </c>
      <c r="I242" s="8" t="s">
        <v>36</v>
      </c>
      <c r="J242" t="s">
        <v>22</v>
      </c>
      <c r="K242" t="s">
        <v>23</v>
      </c>
      <c r="L242" t="str" cm="1">
        <f t="array" ref="L242">_xlfn.IFS(Table1[[#This Row],[City]]="Berlin","Germany",Table1[[#This Row],[City]]="Lisbon","Portugal",Table1[[#This Row],[City]]="London","United Kingdom",Table1[[#This Row],[City]]="Madrid","Spain",Table1[[#This Row],[City]]="Paris","France")</f>
        <v>Germany</v>
      </c>
      <c r="M242" s="12">
        <f>Table1[[#This Row],[Price]]*Table1[[#This Row],[Quantity]]</f>
        <v>2520</v>
      </c>
      <c r="N242" s="12" t="str" cm="1">
        <f t="array" ref="N242">_xlfn.IFS(Table1[[#This Row],[Revenue]]&lt;=3267,"Low Sales",Table1[[#This Row],[Revenue]]&lt;=6534,"Fair Sales",Table1[[#This Row],[Revenue]]&gt;6534,"High Sales")</f>
        <v>Low Sales</v>
      </c>
    </row>
    <row r="243" spans="1:14" x14ac:dyDescent="0.25">
      <c r="A243" s="9">
        <v>10698</v>
      </c>
      <c r="B243" s="4">
        <v>44921</v>
      </c>
      <c r="C243" s="4" t="str">
        <f>TEXT(Table1[[#This Row],[Date]],"mmmm")</f>
        <v>December</v>
      </c>
      <c r="D243" s="4" t="str">
        <f>TEXT(Table1[[#This Row],[Date]],"dddd")</f>
        <v>Monday</v>
      </c>
      <c r="E243" t="s">
        <v>13</v>
      </c>
      <c r="F243" s="11">
        <v>3</v>
      </c>
      <c r="G243">
        <v>678</v>
      </c>
      <c r="H243" s="8" t="s">
        <v>17</v>
      </c>
      <c r="I243" s="8" t="s">
        <v>36</v>
      </c>
      <c r="J243" t="s">
        <v>22</v>
      </c>
      <c r="K243" t="s">
        <v>23</v>
      </c>
      <c r="L243" t="str" cm="1">
        <f t="array" ref="L243">_xlfn.IFS(Table1[[#This Row],[City]]="Berlin","Germany",Table1[[#This Row],[City]]="Lisbon","Portugal",Table1[[#This Row],[City]]="London","United Kingdom",Table1[[#This Row],[City]]="Madrid","Spain",Table1[[#This Row],[City]]="Paris","France")</f>
        <v>Germany</v>
      </c>
      <c r="M243" s="12">
        <f>Table1[[#This Row],[Price]]*Table1[[#This Row],[Quantity]]</f>
        <v>2034</v>
      </c>
      <c r="N243" s="12" t="str" cm="1">
        <f t="array" ref="N243">_xlfn.IFS(Table1[[#This Row],[Revenue]]&lt;=3267,"Low Sales",Table1[[#This Row],[Revenue]]&lt;=6534,"Fair Sales",Table1[[#This Row],[Revenue]]&gt;6534,"High Sales")</f>
        <v>Low Sales</v>
      </c>
    </row>
    <row r="244" spans="1:14" x14ac:dyDescent="0.25">
      <c r="A244" s="9">
        <v>10699</v>
      </c>
      <c r="B244" s="4">
        <v>44921</v>
      </c>
      <c r="C244" s="4" t="str">
        <f>TEXT(Table1[[#This Row],[Date]],"mmmm")</f>
        <v>December</v>
      </c>
      <c r="D244" s="4" t="str">
        <f>TEXT(Table1[[#This Row],[Date]],"dddd")</f>
        <v>Monday</v>
      </c>
      <c r="E244" t="s">
        <v>16</v>
      </c>
      <c r="F244" s="11">
        <v>5</v>
      </c>
      <c r="G244">
        <v>200</v>
      </c>
      <c r="H244" s="8" t="s">
        <v>17</v>
      </c>
      <c r="I244" s="8" t="s">
        <v>36</v>
      </c>
      <c r="J244" t="s">
        <v>22</v>
      </c>
      <c r="K244" t="s">
        <v>23</v>
      </c>
      <c r="L244" t="str" cm="1">
        <f t="array" ref="L244">_xlfn.IFS(Table1[[#This Row],[City]]="Berlin","Germany",Table1[[#This Row],[City]]="Lisbon","Portugal",Table1[[#This Row],[City]]="London","United Kingdom",Table1[[#This Row],[City]]="Madrid","Spain",Table1[[#This Row],[City]]="Paris","France")</f>
        <v>Germany</v>
      </c>
      <c r="M244" s="12">
        <f>Table1[[#This Row],[Price]]*Table1[[#This Row],[Quantity]]</f>
        <v>1000</v>
      </c>
      <c r="N244" s="12" t="str" cm="1">
        <f t="array" ref="N244">_xlfn.IFS(Table1[[#This Row],[Revenue]]&lt;=3267,"Low Sales",Table1[[#This Row],[Revenue]]&lt;=6534,"Fair Sales",Table1[[#This Row],[Revenue]]&gt;6534,"High Sales")</f>
        <v>Low Sales</v>
      </c>
    </row>
    <row r="245" spans="1:14" x14ac:dyDescent="0.25">
      <c r="A245" s="9">
        <v>10700</v>
      </c>
      <c r="B245" s="4">
        <v>44922</v>
      </c>
      <c r="C245" s="4" t="str">
        <f>TEXT(Table1[[#This Row],[Date]],"mmmm")</f>
        <v>December</v>
      </c>
      <c r="D245" s="4" t="str">
        <f>TEXT(Table1[[#This Row],[Date]],"dddd")</f>
        <v>Tuesday</v>
      </c>
      <c r="E245" t="s">
        <v>20</v>
      </c>
      <c r="F245" s="11">
        <v>13</v>
      </c>
      <c r="G245">
        <v>693</v>
      </c>
      <c r="H245" s="8" t="s">
        <v>17</v>
      </c>
      <c r="I245" s="8" t="s">
        <v>36</v>
      </c>
      <c r="J245" t="s">
        <v>22</v>
      </c>
      <c r="K245" t="s">
        <v>23</v>
      </c>
      <c r="L245" t="str" cm="1">
        <f t="array" ref="L245">_xlfn.IFS(Table1[[#This Row],[City]]="Berlin","Germany",Table1[[#This Row],[City]]="Lisbon","Portugal",Table1[[#This Row],[City]]="London","United Kingdom",Table1[[#This Row],[City]]="Madrid","Spain",Table1[[#This Row],[City]]="Paris","France")</f>
        <v>Germany</v>
      </c>
      <c r="M245" s="12">
        <f>Table1[[#This Row],[Price]]*Table1[[#This Row],[Quantity]]</f>
        <v>9009</v>
      </c>
      <c r="N245" s="12" t="str" cm="1">
        <f t="array" ref="N245">_xlfn.IFS(Table1[[#This Row],[Revenue]]&lt;=3267,"Low Sales",Table1[[#This Row],[Revenue]]&lt;=6534,"Fair Sales",Table1[[#This Row],[Revenue]]&gt;6534,"High Sales")</f>
        <v>High Sales</v>
      </c>
    </row>
    <row r="246" spans="1:14" x14ac:dyDescent="0.25">
      <c r="A246" s="9">
        <v>10701</v>
      </c>
      <c r="B246" s="4">
        <v>44922</v>
      </c>
      <c r="C246" s="4" t="str">
        <f>TEXT(Table1[[#This Row],[Date]],"mmmm")</f>
        <v>December</v>
      </c>
      <c r="D246" s="4" t="str">
        <f>TEXT(Table1[[#This Row],[Date]],"dddd")</f>
        <v>Tuesday</v>
      </c>
      <c r="E246" t="s">
        <v>24</v>
      </c>
      <c r="F246" s="11">
        <v>10</v>
      </c>
      <c r="G246">
        <v>281</v>
      </c>
      <c r="H246" s="8" t="s">
        <v>17</v>
      </c>
      <c r="I246" s="8" t="s">
        <v>36</v>
      </c>
      <c r="J246" t="s">
        <v>22</v>
      </c>
      <c r="K246" t="s">
        <v>23</v>
      </c>
      <c r="L246" t="str" cm="1">
        <f t="array" ref="L246">_xlfn.IFS(Table1[[#This Row],[City]]="Berlin","Germany",Table1[[#This Row],[City]]="Lisbon","Portugal",Table1[[#This Row],[City]]="London","United Kingdom",Table1[[#This Row],[City]]="Madrid","Spain",Table1[[#This Row],[City]]="Paris","France")</f>
        <v>Germany</v>
      </c>
      <c r="M246" s="12">
        <f>Table1[[#This Row],[Price]]*Table1[[#This Row],[Quantity]]</f>
        <v>2810</v>
      </c>
      <c r="N246" s="12" t="str" cm="1">
        <f t="array" ref="N246">_xlfn.IFS(Table1[[#This Row],[Revenue]]&lt;=3267,"Low Sales",Table1[[#This Row],[Revenue]]&lt;=6534,"Fair Sales",Table1[[#This Row],[Revenue]]&gt;6534,"High Sales")</f>
        <v>Low Sales</v>
      </c>
    </row>
    <row r="247" spans="1:14" x14ac:dyDescent="0.25">
      <c r="A247" s="9">
        <v>10702</v>
      </c>
      <c r="B247" s="4">
        <v>44922</v>
      </c>
      <c r="C247" s="4" t="str">
        <f>TEXT(Table1[[#This Row],[Date]],"mmmm")</f>
        <v>December</v>
      </c>
      <c r="D247" s="4" t="str">
        <f>TEXT(Table1[[#This Row],[Date]],"dddd")</f>
        <v>Tuesday</v>
      </c>
      <c r="E247" t="s">
        <v>8</v>
      </c>
      <c r="F247" s="11">
        <v>4</v>
      </c>
      <c r="G247">
        <v>630</v>
      </c>
      <c r="H247" s="8" t="s">
        <v>17</v>
      </c>
      <c r="I247" s="8" t="s">
        <v>36</v>
      </c>
      <c r="J247" t="s">
        <v>22</v>
      </c>
      <c r="K247" t="s">
        <v>23</v>
      </c>
      <c r="L247" t="str" cm="1">
        <f t="array" ref="L247">_xlfn.IFS(Table1[[#This Row],[City]]="Berlin","Germany",Table1[[#This Row],[City]]="Lisbon","Portugal",Table1[[#This Row],[City]]="London","United Kingdom",Table1[[#This Row],[City]]="Madrid","Spain",Table1[[#This Row],[City]]="Paris","France")</f>
        <v>Germany</v>
      </c>
      <c r="M247" s="12">
        <f>Table1[[#This Row],[Price]]*Table1[[#This Row],[Quantity]]</f>
        <v>2520</v>
      </c>
      <c r="N247" s="12" t="str" cm="1">
        <f t="array" ref="N247">_xlfn.IFS(Table1[[#This Row],[Revenue]]&lt;=3267,"Low Sales",Table1[[#This Row],[Revenue]]&lt;=6534,"Fair Sales",Table1[[#This Row],[Revenue]]&gt;6534,"High Sales")</f>
        <v>Low Sales</v>
      </c>
    </row>
    <row r="248" spans="1:14" x14ac:dyDescent="0.25">
      <c r="A248" s="9">
        <v>10703</v>
      </c>
      <c r="B248" s="4">
        <v>44922</v>
      </c>
      <c r="C248" s="4" t="str">
        <f>TEXT(Table1[[#This Row],[Date]],"mmmm")</f>
        <v>December</v>
      </c>
      <c r="D248" s="4" t="str">
        <f>TEXT(Table1[[#This Row],[Date]],"dddd")</f>
        <v>Tuesday</v>
      </c>
      <c r="E248" t="s">
        <v>13</v>
      </c>
      <c r="F248" s="11">
        <v>3</v>
      </c>
      <c r="G248">
        <v>678</v>
      </c>
      <c r="H248" s="8" t="s">
        <v>17</v>
      </c>
      <c r="I248" s="8" t="s">
        <v>10</v>
      </c>
      <c r="J248" t="s">
        <v>22</v>
      </c>
      <c r="K248" t="s">
        <v>23</v>
      </c>
      <c r="L248" t="str" cm="1">
        <f t="array" ref="L248">_xlfn.IFS(Table1[[#This Row],[City]]="Berlin","Germany",Table1[[#This Row],[City]]="Lisbon","Portugal",Table1[[#This Row],[City]]="London","United Kingdom",Table1[[#This Row],[City]]="Madrid","Spain",Table1[[#This Row],[City]]="Paris","France")</f>
        <v>Germany</v>
      </c>
      <c r="M248" s="12">
        <f>Table1[[#This Row],[Price]]*Table1[[#This Row],[Quantity]]</f>
        <v>2034</v>
      </c>
      <c r="N248" s="12" t="str" cm="1">
        <f t="array" ref="N248">_xlfn.IFS(Table1[[#This Row],[Revenue]]&lt;=3267,"Low Sales",Table1[[#This Row],[Revenue]]&lt;=6534,"Fair Sales",Table1[[#This Row],[Revenue]]&gt;6534,"High Sales")</f>
        <v>Low Sales</v>
      </c>
    </row>
    <row r="249" spans="1:14" x14ac:dyDescent="0.25">
      <c r="A249" s="9">
        <v>10704</v>
      </c>
      <c r="B249" s="4">
        <v>44922</v>
      </c>
      <c r="C249" s="4" t="str">
        <f>TEXT(Table1[[#This Row],[Date]],"mmmm")</f>
        <v>December</v>
      </c>
      <c r="D249" s="4" t="str">
        <f>TEXT(Table1[[#This Row],[Date]],"dddd")</f>
        <v>Tuesday</v>
      </c>
      <c r="E249" t="s">
        <v>16</v>
      </c>
      <c r="F249" s="11">
        <v>5</v>
      </c>
      <c r="G249">
        <v>200</v>
      </c>
      <c r="H249" s="8" t="s">
        <v>35</v>
      </c>
      <c r="I249" s="8" t="s">
        <v>10</v>
      </c>
      <c r="J249" t="s">
        <v>22</v>
      </c>
      <c r="K249" t="s">
        <v>23</v>
      </c>
      <c r="L249" t="str" cm="1">
        <f t="array" ref="L249">_xlfn.IFS(Table1[[#This Row],[City]]="Berlin","Germany",Table1[[#This Row],[City]]="Lisbon","Portugal",Table1[[#This Row],[City]]="London","United Kingdom",Table1[[#This Row],[City]]="Madrid","Spain",Table1[[#This Row],[City]]="Paris","France")</f>
        <v>Germany</v>
      </c>
      <c r="M249" s="12">
        <f>Table1[[#This Row],[Price]]*Table1[[#This Row],[Quantity]]</f>
        <v>1000</v>
      </c>
      <c r="N249" s="12" t="str" cm="1">
        <f t="array" ref="N249">_xlfn.IFS(Table1[[#This Row],[Revenue]]&lt;=3267,"Low Sales",Table1[[#This Row],[Revenue]]&lt;=6534,"Fair Sales",Table1[[#This Row],[Revenue]]&gt;6534,"High Sales")</f>
        <v>Low Sales</v>
      </c>
    </row>
    <row r="250" spans="1:14" x14ac:dyDescent="0.25">
      <c r="A250" s="9">
        <v>10705</v>
      </c>
      <c r="B250" s="4">
        <v>44923</v>
      </c>
      <c r="C250" s="4" t="str">
        <f>TEXT(Table1[[#This Row],[Date]],"mmmm")</f>
        <v>December</v>
      </c>
      <c r="D250" s="4" t="str">
        <f>TEXT(Table1[[#This Row],[Date]],"dddd")</f>
        <v>Wednesday</v>
      </c>
      <c r="E250" t="s">
        <v>20</v>
      </c>
      <c r="F250" s="11">
        <v>13</v>
      </c>
      <c r="G250">
        <v>724</v>
      </c>
      <c r="H250" s="8" t="s">
        <v>35</v>
      </c>
      <c r="I250" s="8" t="s">
        <v>10</v>
      </c>
      <c r="J250" t="s">
        <v>22</v>
      </c>
      <c r="K250" t="s">
        <v>23</v>
      </c>
      <c r="L250" t="str" cm="1">
        <f t="array" ref="L250">_xlfn.IFS(Table1[[#This Row],[City]]="Berlin","Germany",Table1[[#This Row],[City]]="Lisbon","Portugal",Table1[[#This Row],[City]]="London","United Kingdom",Table1[[#This Row],[City]]="Madrid","Spain",Table1[[#This Row],[City]]="Paris","France")</f>
        <v>Germany</v>
      </c>
      <c r="M250" s="12">
        <f>Table1[[#This Row],[Price]]*Table1[[#This Row],[Quantity]]</f>
        <v>9412</v>
      </c>
      <c r="N250" s="12" t="str" cm="1">
        <f t="array" ref="N250">_xlfn.IFS(Table1[[#This Row],[Revenue]]&lt;=3267,"Low Sales",Table1[[#This Row],[Revenue]]&lt;=6534,"Fair Sales",Table1[[#This Row],[Revenue]]&gt;6534,"High Sales")</f>
        <v>High Sales</v>
      </c>
    </row>
    <row r="251" spans="1:14" x14ac:dyDescent="0.25">
      <c r="A251" s="9">
        <v>10706</v>
      </c>
      <c r="B251" s="4">
        <v>44923</v>
      </c>
      <c r="C251" s="4" t="str">
        <f>TEXT(Table1[[#This Row],[Date]],"mmmm")</f>
        <v>December</v>
      </c>
      <c r="D251" s="4" t="str">
        <f>TEXT(Table1[[#This Row],[Date]],"dddd")</f>
        <v>Wednesday</v>
      </c>
      <c r="E251" t="s">
        <v>24</v>
      </c>
      <c r="F251" s="11">
        <v>10</v>
      </c>
      <c r="G251">
        <v>302</v>
      </c>
      <c r="H251" s="8" t="s">
        <v>35</v>
      </c>
      <c r="I251" s="8" t="s">
        <v>10</v>
      </c>
      <c r="J251" t="s">
        <v>22</v>
      </c>
      <c r="K251" t="s">
        <v>23</v>
      </c>
      <c r="L251" t="str" cm="1">
        <f t="array" ref="L251">_xlfn.IFS(Table1[[#This Row],[City]]="Berlin","Germany",Table1[[#This Row],[City]]="Lisbon","Portugal",Table1[[#This Row],[City]]="London","United Kingdom",Table1[[#This Row],[City]]="Madrid","Spain",Table1[[#This Row],[City]]="Paris","France")</f>
        <v>Germany</v>
      </c>
      <c r="M251" s="12">
        <f>Table1[[#This Row],[Price]]*Table1[[#This Row],[Quantity]]</f>
        <v>3020</v>
      </c>
      <c r="N251" s="12" t="str" cm="1">
        <f t="array" ref="N251">_xlfn.IFS(Table1[[#This Row],[Revenue]]&lt;=3267,"Low Sales",Table1[[#This Row],[Revenue]]&lt;=6534,"Fair Sales",Table1[[#This Row],[Revenue]]&gt;6534,"High Sales")</f>
        <v>Low Sales</v>
      </c>
    </row>
    <row r="252" spans="1:14" x14ac:dyDescent="0.25">
      <c r="A252" s="9">
        <v>10707</v>
      </c>
      <c r="B252" s="4">
        <v>44923</v>
      </c>
      <c r="C252" s="4" t="str">
        <f>TEXT(Table1[[#This Row],[Date]],"mmmm")</f>
        <v>December</v>
      </c>
      <c r="D252" s="4" t="str">
        <f>TEXT(Table1[[#This Row],[Date]],"dddd")</f>
        <v>Wednesday</v>
      </c>
      <c r="E252" t="s">
        <v>8</v>
      </c>
      <c r="F252" s="11">
        <v>4</v>
      </c>
      <c r="G252">
        <v>630</v>
      </c>
      <c r="H252" s="8" t="s">
        <v>35</v>
      </c>
      <c r="I252" s="8" t="s">
        <v>10</v>
      </c>
      <c r="J252" t="s">
        <v>22</v>
      </c>
      <c r="K252" t="s">
        <v>23</v>
      </c>
      <c r="L252" t="str" cm="1">
        <f t="array" ref="L252">_xlfn.IFS(Table1[[#This Row],[City]]="Berlin","Germany",Table1[[#This Row],[City]]="Lisbon","Portugal",Table1[[#This Row],[City]]="London","United Kingdom",Table1[[#This Row],[City]]="Madrid","Spain",Table1[[#This Row],[City]]="Paris","France")</f>
        <v>Germany</v>
      </c>
      <c r="M252" s="12">
        <f>Table1[[#This Row],[Price]]*Table1[[#This Row],[Quantity]]</f>
        <v>2520</v>
      </c>
      <c r="N252" s="12" t="str" cm="1">
        <f t="array" ref="N252">_xlfn.IFS(Table1[[#This Row],[Revenue]]&lt;=3267,"Low Sales",Table1[[#This Row],[Revenue]]&lt;=6534,"Fair Sales",Table1[[#This Row],[Revenue]]&gt;6534,"High Sales")</f>
        <v>Low Sales</v>
      </c>
    </row>
    <row r="253" spans="1:14" x14ac:dyDescent="0.25">
      <c r="A253" s="9">
        <v>10708</v>
      </c>
      <c r="B253" s="4">
        <v>44923</v>
      </c>
      <c r="C253" s="4" t="str">
        <f>TEXT(Table1[[#This Row],[Date]],"mmmm")</f>
        <v>December</v>
      </c>
      <c r="D253" s="4" t="str">
        <f>TEXT(Table1[[#This Row],[Date]],"dddd")</f>
        <v>Wednesday</v>
      </c>
      <c r="E253" t="s">
        <v>13</v>
      </c>
      <c r="F253" s="11">
        <v>3</v>
      </c>
      <c r="G253">
        <v>678</v>
      </c>
      <c r="H253" s="8" t="s">
        <v>35</v>
      </c>
      <c r="I253" s="8" t="s">
        <v>10</v>
      </c>
      <c r="J253" t="s">
        <v>22</v>
      </c>
      <c r="K253" t="s">
        <v>23</v>
      </c>
      <c r="L253" t="str" cm="1">
        <f t="array" ref="L253">_xlfn.IFS(Table1[[#This Row],[City]]="Berlin","Germany",Table1[[#This Row],[City]]="Lisbon","Portugal",Table1[[#This Row],[City]]="London","United Kingdom",Table1[[#This Row],[City]]="Madrid","Spain",Table1[[#This Row],[City]]="Paris","France")</f>
        <v>Germany</v>
      </c>
      <c r="M253" s="12">
        <f>Table1[[#This Row],[Price]]*Table1[[#This Row],[Quantity]]</f>
        <v>2034</v>
      </c>
      <c r="N253" s="12" t="str" cm="1">
        <f t="array" ref="N253">_xlfn.IFS(Table1[[#This Row],[Revenue]]&lt;=3267,"Low Sales",Table1[[#This Row],[Revenue]]&lt;=6534,"Fair Sales",Table1[[#This Row],[Revenue]]&gt;6534,"High Sales")</f>
        <v>Low Sales</v>
      </c>
    </row>
    <row r="254" spans="1:14" x14ac:dyDescent="0.25">
      <c r="A254" s="9">
        <v>10709</v>
      </c>
      <c r="B254" s="4">
        <v>44923</v>
      </c>
      <c r="C254" s="4" t="str">
        <f>TEXT(Table1[[#This Row],[Date]],"mmmm")</f>
        <v>December</v>
      </c>
      <c r="D254" s="4" t="str">
        <f>TEXT(Table1[[#This Row],[Date]],"dddd")</f>
        <v>Wednesday</v>
      </c>
      <c r="E254" t="s">
        <v>16</v>
      </c>
      <c r="F254" s="11">
        <v>5</v>
      </c>
      <c r="G254">
        <v>200</v>
      </c>
      <c r="H254" s="8" t="s">
        <v>35</v>
      </c>
      <c r="I254" s="8" t="s">
        <v>10</v>
      </c>
      <c r="J254" t="s">
        <v>22</v>
      </c>
      <c r="K254" t="s">
        <v>23</v>
      </c>
      <c r="L254" t="str" cm="1">
        <f t="array" ref="L254">_xlfn.IFS(Table1[[#This Row],[City]]="Berlin","Germany",Table1[[#This Row],[City]]="Lisbon","Portugal",Table1[[#This Row],[City]]="London","United Kingdom",Table1[[#This Row],[City]]="Madrid","Spain",Table1[[#This Row],[City]]="Paris","France")</f>
        <v>Germany</v>
      </c>
      <c r="M254" s="12">
        <f>Table1[[#This Row],[Price]]*Table1[[#This Row],[Quantity]]</f>
        <v>1000</v>
      </c>
      <c r="N254" s="12" t="str" cm="1">
        <f t="array" ref="N254">_xlfn.IFS(Table1[[#This Row],[Revenue]]&lt;=3267,"Low Sales",Table1[[#This Row],[Revenue]]&lt;=6534,"Fair Sales",Table1[[#This Row],[Revenue]]&gt;6534,"High Sales")</f>
        <v>Low Sales</v>
      </c>
    </row>
    <row r="255" spans="1:14" x14ac:dyDescent="0.25">
      <c r="A255" s="9">
        <v>10710</v>
      </c>
      <c r="B255" s="4">
        <v>44924</v>
      </c>
      <c r="C255" s="4" t="str">
        <f>TEXT(Table1[[#This Row],[Date]],"mmmm")</f>
        <v>December</v>
      </c>
      <c r="D255" s="4" t="str">
        <f>TEXT(Table1[[#This Row],[Date]],"dddd")</f>
        <v>Thursday</v>
      </c>
      <c r="E255" t="s">
        <v>20</v>
      </c>
      <c r="F255" s="11">
        <v>13</v>
      </c>
      <c r="G255">
        <v>754</v>
      </c>
      <c r="H255" s="8" t="s">
        <v>35</v>
      </c>
      <c r="I255" s="8" t="s">
        <v>10</v>
      </c>
      <c r="J255" t="s">
        <v>22</v>
      </c>
      <c r="K255" t="s">
        <v>23</v>
      </c>
      <c r="L255" t="str" cm="1">
        <f t="array" ref="L255">_xlfn.IFS(Table1[[#This Row],[City]]="Berlin","Germany",Table1[[#This Row],[City]]="Lisbon","Portugal",Table1[[#This Row],[City]]="London","United Kingdom",Table1[[#This Row],[City]]="Madrid","Spain",Table1[[#This Row],[City]]="Paris","France")</f>
        <v>Germany</v>
      </c>
      <c r="M255" s="12">
        <f>Table1[[#This Row],[Price]]*Table1[[#This Row],[Quantity]]</f>
        <v>9802</v>
      </c>
      <c r="N255" s="12" t="str" cm="1">
        <f t="array" ref="N255">_xlfn.IFS(Table1[[#This Row],[Revenue]]&lt;=3267,"Low Sales",Table1[[#This Row],[Revenue]]&lt;=6534,"Fair Sales",Table1[[#This Row],[Revenue]]&gt;6534,"High Sales")</f>
        <v>High Sales</v>
      </c>
    </row>
    <row r="256" spans="1:14" x14ac:dyDescent="0.25">
      <c r="A256" s="9">
        <v>10711</v>
      </c>
      <c r="B256" s="4">
        <v>44924</v>
      </c>
      <c r="C256" s="4" t="str">
        <f>TEXT(Table1[[#This Row],[Date]],"mmmm")</f>
        <v>December</v>
      </c>
      <c r="D256" s="4" t="str">
        <f>TEXT(Table1[[#This Row],[Date]],"dddd")</f>
        <v>Thursday</v>
      </c>
      <c r="E256" t="s">
        <v>24</v>
      </c>
      <c r="F256" s="11">
        <v>10</v>
      </c>
      <c r="G256">
        <v>281</v>
      </c>
      <c r="H256" s="8" t="s">
        <v>35</v>
      </c>
      <c r="I256" s="8" t="s">
        <v>10</v>
      </c>
      <c r="J256" t="s">
        <v>22</v>
      </c>
      <c r="K256" t="s">
        <v>23</v>
      </c>
      <c r="L256" t="str" cm="1">
        <f t="array" ref="L256">_xlfn.IFS(Table1[[#This Row],[City]]="Berlin","Germany",Table1[[#This Row],[City]]="Lisbon","Portugal",Table1[[#This Row],[City]]="London","United Kingdom",Table1[[#This Row],[City]]="Madrid","Spain",Table1[[#This Row],[City]]="Paris","France")</f>
        <v>Germany</v>
      </c>
      <c r="M256" s="12">
        <f>Table1[[#This Row],[Price]]*Table1[[#This Row],[Quantity]]</f>
        <v>2810</v>
      </c>
      <c r="N256" s="12" t="str" cm="1">
        <f t="array" ref="N256">_xlfn.IFS(Table1[[#This Row],[Revenue]]&lt;=3267,"Low Sales",Table1[[#This Row],[Revenue]]&lt;=6534,"Fair Sales",Table1[[#This Row],[Revenue]]&gt;6534,"High Sales")</f>
        <v>Low Sales</v>
      </c>
    </row>
    <row r="257" spans="1:14" x14ac:dyDescent="0.25">
      <c r="A257" s="9">
        <v>10712</v>
      </c>
      <c r="B257" s="4">
        <v>44924</v>
      </c>
      <c r="C257" s="4" t="str">
        <f>TEXT(Table1[[#This Row],[Date]],"mmmm")</f>
        <v>December</v>
      </c>
      <c r="D257" s="4" t="str">
        <f>TEXT(Table1[[#This Row],[Date]],"dddd")</f>
        <v>Thursday</v>
      </c>
      <c r="E257" t="s">
        <v>8</v>
      </c>
      <c r="F257" s="11">
        <v>4</v>
      </c>
      <c r="G257">
        <v>630</v>
      </c>
      <c r="H257" s="8" t="s">
        <v>35</v>
      </c>
      <c r="I257" s="8" t="s">
        <v>10</v>
      </c>
      <c r="J257" t="s">
        <v>22</v>
      </c>
      <c r="K257" t="s">
        <v>23</v>
      </c>
      <c r="L257" t="str" cm="1">
        <f t="array" ref="L257">_xlfn.IFS(Table1[[#This Row],[City]]="Berlin","Germany",Table1[[#This Row],[City]]="Lisbon","Portugal",Table1[[#This Row],[City]]="London","United Kingdom",Table1[[#This Row],[City]]="Madrid","Spain",Table1[[#This Row],[City]]="Paris","France")</f>
        <v>Germany</v>
      </c>
      <c r="M257" s="12">
        <f>Table1[[#This Row],[Price]]*Table1[[#This Row],[Quantity]]</f>
        <v>2520</v>
      </c>
      <c r="N257" s="12" t="str" cm="1">
        <f t="array" ref="N257">_xlfn.IFS(Table1[[#This Row],[Revenue]]&lt;=3267,"Low Sales",Table1[[#This Row],[Revenue]]&lt;=6534,"Fair Sales",Table1[[#This Row],[Revenue]]&gt;6534,"High Sales")</f>
        <v>Low Sales</v>
      </c>
    </row>
    <row r="258" spans="1:14" x14ac:dyDescent="0.25">
      <c r="A258" s="9">
        <v>10713</v>
      </c>
      <c r="B258" s="4">
        <v>44924</v>
      </c>
      <c r="C258" s="4" t="str">
        <f>TEXT(Table1[[#This Row],[Date]],"mmmm")</f>
        <v>December</v>
      </c>
      <c r="D258" s="4" t="str">
        <f>TEXT(Table1[[#This Row],[Date]],"dddd")</f>
        <v>Thursday</v>
      </c>
      <c r="E258" t="s">
        <v>13</v>
      </c>
      <c r="F258" s="11">
        <v>3</v>
      </c>
      <c r="G258">
        <v>678</v>
      </c>
      <c r="H258" s="8" t="s">
        <v>35</v>
      </c>
      <c r="I258" s="8" t="s">
        <v>10</v>
      </c>
      <c r="J258" t="s">
        <v>22</v>
      </c>
      <c r="K258" t="s">
        <v>23</v>
      </c>
      <c r="L258" t="str" cm="1">
        <f t="array" ref="L258">_xlfn.IFS(Table1[[#This Row],[City]]="Berlin","Germany",Table1[[#This Row],[City]]="Lisbon","Portugal",Table1[[#This Row],[City]]="London","United Kingdom",Table1[[#This Row],[City]]="Madrid","Spain",Table1[[#This Row],[City]]="Paris","France")</f>
        <v>Germany</v>
      </c>
      <c r="M258" s="12">
        <f>Table1[[#This Row],[Price]]*Table1[[#This Row],[Quantity]]</f>
        <v>2034</v>
      </c>
      <c r="N258" s="12" t="str" cm="1">
        <f t="array" ref="N258">_xlfn.IFS(Table1[[#This Row],[Revenue]]&lt;=3267,"Low Sales",Table1[[#This Row],[Revenue]]&lt;=6534,"Fair Sales",Table1[[#This Row],[Revenue]]&gt;6534,"High Sales")</f>
        <v>Low Sales</v>
      </c>
    </row>
    <row r="259" spans="1:14" x14ac:dyDescent="0.25">
      <c r="A259" s="9"/>
      <c r="B259" s="4"/>
      <c r="C259" s="4"/>
      <c r="D259" s="4"/>
      <c r="F259" s="11"/>
      <c r="G259" s="6"/>
      <c r="H259" s="8"/>
      <c r="I259" s="8"/>
      <c r="N259" s="12"/>
    </row>
  </sheetData>
  <phoneticPr fontId="4" type="noConversion"/>
  <conditionalFormatting sqref="G1:G1048576">
    <cfRule type="expression" dxfId="5" priority="4">
      <formula>AND(G1&gt;1,G1&lt;=251)</formula>
    </cfRule>
    <cfRule type="expression" dxfId="4" priority="5">
      <formula>AND(G1&gt;251,G1&lt;=502)</formula>
    </cfRule>
    <cfRule type="expression" dxfId="3" priority="6">
      <formula>AND(G1&gt;502,G1&lt;=754)</formula>
    </cfRule>
  </conditionalFormatting>
  <conditionalFormatting sqref="M1:M1048576">
    <cfRule type="expression" dxfId="2" priority="1">
      <formula>AND(M1&gt;6534,M1&lt;=9802)</formula>
    </cfRule>
    <cfRule type="expression" dxfId="1" priority="2">
      <formula>AND(M1&gt;3267,M1&lt;=6534)</formula>
    </cfRule>
    <cfRule type="expression" dxfId="0" priority="3">
      <formula>AND(M1&gt;1,M1&lt;=3267)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11DEC-CED6-405F-AB71-4435107ECF53}">
  <dimension ref="A1"/>
  <sheetViews>
    <sheetView showGridLines="0" showRowColHeaders="0" topLeftCell="A2" zoomScaleNormal="100" workbookViewId="0">
      <selection activeCell="D6" sqref="D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19CF9-3B68-41DB-BDF2-5894F55AA807}">
  <dimension ref="A1:T20"/>
  <sheetViews>
    <sheetView workbookViewId="0">
      <selection activeCell="A10" sqref="A10:T10"/>
    </sheetView>
  </sheetViews>
  <sheetFormatPr defaultRowHeight="15" x14ac:dyDescent="0.25"/>
  <sheetData>
    <row r="1" spans="1:20" ht="15.75" x14ac:dyDescent="0.25">
      <c r="A1" s="19" t="s">
        <v>44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15.75" x14ac:dyDescent="0.25">
      <c r="A2" s="18" t="s">
        <v>45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0" ht="15.75" x14ac:dyDescent="0.25">
      <c r="A3" s="18" t="s">
        <v>46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15.75" x14ac:dyDescent="0.25">
      <c r="A4" s="18" t="s">
        <v>47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15.75" x14ac:dyDescent="0.25">
      <c r="A5" s="18" t="s">
        <v>48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15.75" x14ac:dyDescent="0.25">
      <c r="A6" s="18" t="s">
        <v>49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15.75" x14ac:dyDescent="0.25">
      <c r="A7" s="18" t="s">
        <v>50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15.75" x14ac:dyDescent="0.25">
      <c r="A8" s="18" t="s">
        <v>51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ht="15.75" x14ac:dyDescent="0.25">
      <c r="A9" s="18" t="s">
        <v>52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</row>
    <row r="10" spans="1:20" ht="15.75" x14ac:dyDescent="0.25">
      <c r="A10" s="18" t="s">
        <v>53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</row>
    <row r="11" spans="1:20" ht="15.75" x14ac:dyDescent="0.25">
      <c r="A11" s="18" t="s">
        <v>54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</row>
    <row r="12" spans="1:20" ht="15.75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0" ht="15.75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pans="1:20" ht="15.75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pans="1:20" ht="15.75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1:20" ht="15.75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pans="1:20" ht="15.75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1:20" ht="15.75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pans="1:20" ht="15.75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pans="1:20" ht="15.75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</sheetData>
  <mergeCells count="11">
    <mergeCell ref="A6:T6"/>
    <mergeCell ref="A1:T1"/>
    <mergeCell ref="A2:T2"/>
    <mergeCell ref="A3:T3"/>
    <mergeCell ref="A4:T4"/>
    <mergeCell ref="A5:T5"/>
    <mergeCell ref="A7:T7"/>
    <mergeCell ref="A8:T8"/>
    <mergeCell ref="A9:T9"/>
    <mergeCell ref="A10:T10"/>
    <mergeCell ref="A11:T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31D1F-20ED-484F-B111-985429879E58}">
  <dimension ref="A8:R85"/>
  <sheetViews>
    <sheetView topLeftCell="A25" workbookViewId="0">
      <selection activeCell="A32" sqref="A32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8.140625" bestFit="1" customWidth="1"/>
    <col min="4" max="4" width="16.5703125" bestFit="1" customWidth="1"/>
    <col min="5" max="5" width="10.42578125" bestFit="1" customWidth="1"/>
    <col min="6" max="7" width="16.5703125" bestFit="1" customWidth="1"/>
    <col min="8" max="9" width="10" bestFit="1" customWidth="1"/>
    <col min="10" max="10" width="15.42578125" bestFit="1" customWidth="1"/>
    <col min="11" max="11" width="9" bestFit="1" customWidth="1"/>
    <col min="12" max="13" width="8.28515625" bestFit="1" customWidth="1"/>
    <col min="14" max="14" width="11.5703125" bestFit="1" customWidth="1"/>
    <col min="15" max="15" width="9" bestFit="1" customWidth="1"/>
    <col min="16" max="16" width="10" bestFit="1" customWidth="1"/>
    <col min="17" max="17" width="8.7109375" bestFit="1" customWidth="1"/>
    <col min="18" max="18" width="15.5703125" bestFit="1" customWidth="1"/>
  </cols>
  <sheetData>
    <row r="8" spans="1:14" x14ac:dyDescent="0.25">
      <c r="A8" t="s">
        <v>55</v>
      </c>
      <c r="C8" t="s">
        <v>79</v>
      </c>
      <c r="E8" s="14" t="s">
        <v>7</v>
      </c>
      <c r="F8" t="s">
        <v>55</v>
      </c>
      <c r="I8" s="14" t="s">
        <v>6</v>
      </c>
      <c r="J8" t="s">
        <v>55</v>
      </c>
      <c r="M8" s="14" t="s">
        <v>2</v>
      </c>
      <c r="N8" t="s">
        <v>55</v>
      </c>
    </row>
    <row r="9" spans="1:14" x14ac:dyDescent="0.25">
      <c r="A9" s="12">
        <v>780453</v>
      </c>
      <c r="C9" s="16">
        <v>7.0661478599221788</v>
      </c>
      <c r="E9" s="8" t="s">
        <v>19</v>
      </c>
      <c r="F9" s="12">
        <v>239549</v>
      </c>
      <c r="I9" s="8" t="s">
        <v>34</v>
      </c>
      <c r="J9" s="12">
        <v>239549</v>
      </c>
      <c r="M9" t="s">
        <v>20</v>
      </c>
      <c r="N9" s="12">
        <v>384033</v>
      </c>
    </row>
    <row r="10" spans="1:14" x14ac:dyDescent="0.25">
      <c r="E10" s="8" t="s">
        <v>12</v>
      </c>
      <c r="F10" s="12">
        <v>216969</v>
      </c>
      <c r="I10" s="8" t="s">
        <v>37</v>
      </c>
      <c r="J10" s="12">
        <v>216969</v>
      </c>
      <c r="M10" t="s">
        <v>8</v>
      </c>
      <c r="N10" s="12">
        <v>128092</v>
      </c>
    </row>
    <row r="11" spans="1:14" x14ac:dyDescent="0.25">
      <c r="A11" t="s">
        <v>78</v>
      </c>
      <c r="C11" s="16" t="s">
        <v>61</v>
      </c>
      <c r="E11" s="8" t="s">
        <v>15</v>
      </c>
      <c r="F11" s="12">
        <v>139144</v>
      </c>
      <c r="I11" s="8" t="s">
        <v>30</v>
      </c>
      <c r="J11" s="12">
        <v>139144</v>
      </c>
      <c r="M11" t="s">
        <v>24</v>
      </c>
      <c r="N11" s="12">
        <v>111330</v>
      </c>
    </row>
    <row r="12" spans="1:14" x14ac:dyDescent="0.25">
      <c r="A12" s="15">
        <v>118363</v>
      </c>
      <c r="C12" s="17">
        <v>257</v>
      </c>
      <c r="E12" s="8" t="s">
        <v>23</v>
      </c>
      <c r="F12" s="12">
        <v>102837</v>
      </c>
      <c r="I12" s="8" t="s">
        <v>22</v>
      </c>
      <c r="J12" s="12">
        <v>102837</v>
      </c>
      <c r="M12" t="s">
        <v>13</v>
      </c>
      <c r="N12" s="12">
        <v>106998</v>
      </c>
    </row>
    <row r="13" spans="1:14" x14ac:dyDescent="0.25">
      <c r="E13" s="8" t="s">
        <v>26</v>
      </c>
      <c r="F13" s="12">
        <v>81954</v>
      </c>
      <c r="I13" s="8" t="s">
        <v>27</v>
      </c>
      <c r="J13" s="12">
        <v>81954</v>
      </c>
      <c r="M13" t="s">
        <v>16</v>
      </c>
      <c r="N13" s="12">
        <v>50000</v>
      </c>
    </row>
    <row r="21" spans="1:17" x14ac:dyDescent="0.25">
      <c r="A21" s="14" t="s">
        <v>4</v>
      </c>
      <c r="B21" t="s">
        <v>61</v>
      </c>
      <c r="F21" s="14" t="s">
        <v>5</v>
      </c>
      <c r="G21" t="s">
        <v>61</v>
      </c>
      <c r="J21" s="14" t="s">
        <v>78</v>
      </c>
      <c r="K21" s="14" t="s">
        <v>43</v>
      </c>
    </row>
    <row r="22" spans="1:17" x14ac:dyDescent="0.25">
      <c r="A22" t="s">
        <v>9</v>
      </c>
      <c r="B22">
        <v>107</v>
      </c>
      <c r="F22" t="s">
        <v>21</v>
      </c>
      <c r="G22">
        <v>123</v>
      </c>
      <c r="J22" s="14" t="s">
        <v>42</v>
      </c>
      <c r="K22" t="s">
        <v>67</v>
      </c>
      <c r="L22" t="s">
        <v>70</v>
      </c>
      <c r="M22" t="s">
        <v>65</v>
      </c>
      <c r="N22" t="s">
        <v>64</v>
      </c>
      <c r="O22" t="s">
        <v>63</v>
      </c>
      <c r="P22" t="s">
        <v>69</v>
      </c>
      <c r="Q22" t="s">
        <v>68</v>
      </c>
    </row>
    <row r="23" spans="1:17" x14ac:dyDescent="0.25">
      <c r="A23" t="s">
        <v>17</v>
      </c>
      <c r="B23">
        <v>89</v>
      </c>
      <c r="F23" t="s">
        <v>36</v>
      </c>
      <c r="G23">
        <v>76</v>
      </c>
      <c r="J23" t="s">
        <v>66</v>
      </c>
      <c r="K23">
        <v>6012</v>
      </c>
      <c r="L23">
        <v>8788</v>
      </c>
      <c r="M23">
        <v>8187</v>
      </c>
      <c r="N23">
        <v>8880</v>
      </c>
      <c r="O23">
        <v>6492</v>
      </c>
      <c r="P23">
        <v>6808</v>
      </c>
      <c r="Q23">
        <v>6730</v>
      </c>
    </row>
    <row r="24" spans="1:17" x14ac:dyDescent="0.25">
      <c r="A24" t="s">
        <v>35</v>
      </c>
      <c r="B24">
        <v>61</v>
      </c>
      <c r="F24" t="s">
        <v>10</v>
      </c>
      <c r="G24">
        <v>58</v>
      </c>
      <c r="J24" t="s">
        <v>62</v>
      </c>
      <c r="K24">
        <v>8003</v>
      </c>
      <c r="L24">
        <v>9395</v>
      </c>
      <c r="M24">
        <v>9396</v>
      </c>
      <c r="N24">
        <v>9523</v>
      </c>
      <c r="O24">
        <v>11498</v>
      </c>
      <c r="P24">
        <v>9274</v>
      </c>
      <c r="Q24">
        <v>9377</v>
      </c>
    </row>
    <row r="32" spans="1:17" x14ac:dyDescent="0.25">
      <c r="A32" s="14" t="s">
        <v>71</v>
      </c>
      <c r="B32" t="s">
        <v>78</v>
      </c>
      <c r="F32" s="14" t="s">
        <v>55</v>
      </c>
      <c r="G32" s="14" t="s">
        <v>7</v>
      </c>
      <c r="M32" s="14" t="s">
        <v>55</v>
      </c>
      <c r="N32" s="14" t="s">
        <v>39</v>
      </c>
    </row>
    <row r="33" spans="1:18" x14ac:dyDescent="0.25">
      <c r="A33" t="s">
        <v>124</v>
      </c>
      <c r="B33">
        <v>1519</v>
      </c>
      <c r="F33" s="14" t="s">
        <v>6</v>
      </c>
      <c r="G33" t="s">
        <v>23</v>
      </c>
      <c r="H33" t="s">
        <v>19</v>
      </c>
      <c r="I33" t="s">
        <v>12</v>
      </c>
      <c r="J33" t="s">
        <v>15</v>
      </c>
      <c r="K33" t="s">
        <v>26</v>
      </c>
      <c r="M33" s="14" t="s">
        <v>2</v>
      </c>
      <c r="N33" t="s">
        <v>56</v>
      </c>
      <c r="O33" t="s">
        <v>57</v>
      </c>
      <c r="P33" t="s">
        <v>58</v>
      </c>
      <c r="Q33" t="s">
        <v>59</v>
      </c>
      <c r="R33" t="s">
        <v>60</v>
      </c>
    </row>
    <row r="34" spans="1:18" x14ac:dyDescent="0.25">
      <c r="A34" t="s">
        <v>123</v>
      </c>
      <c r="B34">
        <v>1544</v>
      </c>
      <c r="F34" t="s">
        <v>34</v>
      </c>
      <c r="G34" s="12"/>
      <c r="H34" s="12">
        <v>239549</v>
      </c>
      <c r="I34" s="12"/>
      <c r="J34" s="12"/>
      <c r="K34" s="12"/>
      <c r="M34" t="s">
        <v>20</v>
      </c>
      <c r="N34" s="12">
        <v>39416</v>
      </c>
      <c r="O34" s="12">
        <v>53443</v>
      </c>
      <c r="P34" s="12">
        <v>115661</v>
      </c>
      <c r="Q34" s="12">
        <v>73632</v>
      </c>
      <c r="R34" s="12">
        <v>101881</v>
      </c>
    </row>
    <row r="35" spans="1:18" x14ac:dyDescent="0.25">
      <c r="A35" t="s">
        <v>113</v>
      </c>
      <c r="B35">
        <v>2206</v>
      </c>
      <c r="F35" t="s">
        <v>30</v>
      </c>
      <c r="G35" s="12"/>
      <c r="H35" s="12"/>
      <c r="I35" s="12"/>
      <c r="J35" s="12">
        <v>139144</v>
      </c>
      <c r="K35" s="12"/>
      <c r="M35" t="s">
        <v>8</v>
      </c>
      <c r="N35" s="12">
        <v>14900</v>
      </c>
      <c r="O35" s="12">
        <v>15120</v>
      </c>
      <c r="P35" s="12">
        <v>38728</v>
      </c>
      <c r="Q35" s="12">
        <v>19708</v>
      </c>
      <c r="R35" s="12">
        <v>39636</v>
      </c>
    </row>
    <row r="36" spans="1:18" x14ac:dyDescent="0.25">
      <c r="A36" t="s">
        <v>122</v>
      </c>
      <c r="B36">
        <v>2006</v>
      </c>
      <c r="F36" t="s">
        <v>27</v>
      </c>
      <c r="G36" s="12"/>
      <c r="H36" s="12"/>
      <c r="I36" s="12"/>
      <c r="J36" s="12"/>
      <c r="K36" s="12">
        <v>81954</v>
      </c>
      <c r="M36" t="s">
        <v>24</v>
      </c>
      <c r="N36" s="12">
        <v>12060</v>
      </c>
      <c r="O36" s="12">
        <v>16070</v>
      </c>
      <c r="P36" s="12">
        <v>32950</v>
      </c>
      <c r="Q36" s="12">
        <v>18090</v>
      </c>
      <c r="R36" s="12">
        <v>32160</v>
      </c>
    </row>
    <row r="37" spans="1:18" x14ac:dyDescent="0.25">
      <c r="A37" t="s">
        <v>102</v>
      </c>
      <c r="B37">
        <v>2263</v>
      </c>
      <c r="F37" t="s">
        <v>37</v>
      </c>
      <c r="G37" s="12"/>
      <c r="H37" s="12"/>
      <c r="I37" s="12">
        <v>216969</v>
      </c>
      <c r="J37" s="12"/>
      <c r="K37" s="12"/>
      <c r="M37" t="s">
        <v>13</v>
      </c>
      <c r="N37" s="12">
        <v>10578</v>
      </c>
      <c r="O37" s="12">
        <v>12204</v>
      </c>
      <c r="P37" s="12">
        <v>36210</v>
      </c>
      <c r="Q37" s="12">
        <v>18714</v>
      </c>
      <c r="R37" s="12">
        <v>29292</v>
      </c>
    </row>
    <row r="38" spans="1:18" x14ac:dyDescent="0.25">
      <c r="A38" t="s">
        <v>108</v>
      </c>
      <c r="B38">
        <v>2232</v>
      </c>
      <c r="F38" t="s">
        <v>22</v>
      </c>
      <c r="G38" s="12">
        <v>102837</v>
      </c>
      <c r="H38" s="12"/>
      <c r="I38" s="12"/>
      <c r="J38" s="12"/>
      <c r="K38" s="12"/>
      <c r="M38" t="s">
        <v>16</v>
      </c>
      <c r="N38" s="12">
        <v>5000</v>
      </c>
      <c r="O38" s="12">
        <v>6000</v>
      </c>
      <c r="P38" s="12">
        <v>16000</v>
      </c>
      <c r="Q38" s="12">
        <v>9000</v>
      </c>
      <c r="R38" s="12">
        <v>14000</v>
      </c>
    </row>
    <row r="39" spans="1:18" x14ac:dyDescent="0.25">
      <c r="A39" t="s">
        <v>72</v>
      </c>
      <c r="B39">
        <v>3095</v>
      </c>
    </row>
    <row r="40" spans="1:18" x14ac:dyDescent="0.25">
      <c r="A40" t="s">
        <v>73</v>
      </c>
      <c r="B40">
        <v>2755</v>
      </c>
    </row>
    <row r="41" spans="1:18" x14ac:dyDescent="0.25">
      <c r="A41" t="s">
        <v>119</v>
      </c>
      <c r="B41">
        <v>2160</v>
      </c>
    </row>
    <row r="42" spans="1:18" x14ac:dyDescent="0.25">
      <c r="A42" t="s">
        <v>120</v>
      </c>
      <c r="B42">
        <v>2160</v>
      </c>
    </row>
    <row r="43" spans="1:18" x14ac:dyDescent="0.25">
      <c r="A43" t="s">
        <v>109</v>
      </c>
      <c r="B43">
        <v>2232</v>
      </c>
    </row>
    <row r="44" spans="1:18" x14ac:dyDescent="0.25">
      <c r="A44" t="s">
        <v>93</v>
      </c>
      <c r="B44">
        <v>2306</v>
      </c>
    </row>
    <row r="45" spans="1:18" x14ac:dyDescent="0.25">
      <c r="A45" t="s">
        <v>100</v>
      </c>
      <c r="B45">
        <v>2275</v>
      </c>
    </row>
    <row r="46" spans="1:18" x14ac:dyDescent="0.25">
      <c r="A46" t="s">
        <v>126</v>
      </c>
      <c r="B46">
        <v>678</v>
      </c>
    </row>
    <row r="47" spans="1:18" x14ac:dyDescent="0.25">
      <c r="A47" t="s">
        <v>91</v>
      </c>
      <c r="B47">
        <v>2328</v>
      </c>
    </row>
    <row r="48" spans="1:18" x14ac:dyDescent="0.25">
      <c r="A48" t="s">
        <v>94</v>
      </c>
      <c r="B48">
        <v>2297</v>
      </c>
    </row>
    <row r="49" spans="1:2" x14ac:dyDescent="0.25">
      <c r="A49" t="s">
        <v>92</v>
      </c>
      <c r="B49">
        <v>2312</v>
      </c>
    </row>
    <row r="50" spans="1:2" x14ac:dyDescent="0.25">
      <c r="A50" t="s">
        <v>103</v>
      </c>
      <c r="B50">
        <v>2254</v>
      </c>
    </row>
    <row r="51" spans="1:2" x14ac:dyDescent="0.25">
      <c r="A51" t="s">
        <v>106</v>
      </c>
      <c r="B51">
        <v>2239</v>
      </c>
    </row>
    <row r="52" spans="1:2" x14ac:dyDescent="0.25">
      <c r="A52" t="s">
        <v>112</v>
      </c>
      <c r="B52">
        <v>2223</v>
      </c>
    </row>
    <row r="53" spans="1:2" x14ac:dyDescent="0.25">
      <c r="A53" t="s">
        <v>105</v>
      </c>
      <c r="B53">
        <v>2239</v>
      </c>
    </row>
    <row r="54" spans="1:2" x14ac:dyDescent="0.25">
      <c r="A54" t="s">
        <v>118</v>
      </c>
      <c r="B54">
        <v>2186</v>
      </c>
    </row>
    <row r="55" spans="1:2" x14ac:dyDescent="0.25">
      <c r="A55" t="s">
        <v>117</v>
      </c>
      <c r="B55">
        <v>2186</v>
      </c>
    </row>
    <row r="56" spans="1:2" x14ac:dyDescent="0.25">
      <c r="A56" t="s">
        <v>115</v>
      </c>
      <c r="B56">
        <v>2202</v>
      </c>
    </row>
    <row r="57" spans="1:2" x14ac:dyDescent="0.25">
      <c r="A57" t="s">
        <v>121</v>
      </c>
      <c r="B57">
        <v>2145</v>
      </c>
    </row>
    <row r="58" spans="1:2" x14ac:dyDescent="0.25">
      <c r="A58" t="s">
        <v>107</v>
      </c>
      <c r="B58">
        <v>2232</v>
      </c>
    </row>
    <row r="59" spans="1:2" x14ac:dyDescent="0.25">
      <c r="A59" t="s">
        <v>111</v>
      </c>
      <c r="B59">
        <v>2232</v>
      </c>
    </row>
    <row r="60" spans="1:2" x14ac:dyDescent="0.25">
      <c r="A60" t="s">
        <v>125</v>
      </c>
      <c r="B60">
        <v>740</v>
      </c>
    </row>
    <row r="61" spans="1:2" x14ac:dyDescent="0.25">
      <c r="A61" t="s">
        <v>114</v>
      </c>
      <c r="B61">
        <v>2206</v>
      </c>
    </row>
    <row r="62" spans="1:2" x14ac:dyDescent="0.25">
      <c r="A62" t="s">
        <v>116</v>
      </c>
      <c r="B62">
        <v>2191</v>
      </c>
    </row>
    <row r="63" spans="1:2" x14ac:dyDescent="0.25">
      <c r="A63" t="s">
        <v>110</v>
      </c>
      <c r="B63">
        <v>2232</v>
      </c>
    </row>
    <row r="64" spans="1:2" x14ac:dyDescent="0.25">
      <c r="A64" t="s">
        <v>104</v>
      </c>
      <c r="B64">
        <v>2248</v>
      </c>
    </row>
    <row r="65" spans="1:2" x14ac:dyDescent="0.25">
      <c r="A65" t="s">
        <v>97</v>
      </c>
      <c r="B65">
        <v>2279</v>
      </c>
    </row>
    <row r="66" spans="1:2" x14ac:dyDescent="0.25">
      <c r="A66" t="s">
        <v>99</v>
      </c>
      <c r="B66">
        <v>2279</v>
      </c>
    </row>
    <row r="67" spans="1:2" x14ac:dyDescent="0.25">
      <c r="A67" t="s">
        <v>89</v>
      </c>
      <c r="B67">
        <v>2362</v>
      </c>
    </row>
    <row r="68" spans="1:2" x14ac:dyDescent="0.25">
      <c r="A68" t="s">
        <v>96</v>
      </c>
      <c r="B68">
        <v>2279</v>
      </c>
    </row>
    <row r="69" spans="1:2" x14ac:dyDescent="0.25">
      <c r="A69" t="s">
        <v>98</v>
      </c>
      <c r="B69">
        <v>2279</v>
      </c>
    </row>
    <row r="70" spans="1:2" x14ac:dyDescent="0.25">
      <c r="A70" t="s">
        <v>95</v>
      </c>
      <c r="B70">
        <v>2283</v>
      </c>
    </row>
    <row r="71" spans="1:2" x14ac:dyDescent="0.25">
      <c r="A71" t="s">
        <v>101</v>
      </c>
      <c r="B71">
        <v>2268</v>
      </c>
    </row>
    <row r="72" spans="1:2" x14ac:dyDescent="0.25">
      <c r="A72" t="s">
        <v>88</v>
      </c>
      <c r="B72">
        <v>2367</v>
      </c>
    </row>
    <row r="73" spans="1:2" x14ac:dyDescent="0.25">
      <c r="A73" t="s">
        <v>84</v>
      </c>
      <c r="B73">
        <v>2440</v>
      </c>
    </row>
    <row r="74" spans="1:2" x14ac:dyDescent="0.25">
      <c r="A74" t="s">
        <v>81</v>
      </c>
      <c r="B74">
        <v>2455</v>
      </c>
    </row>
    <row r="75" spans="1:2" x14ac:dyDescent="0.25">
      <c r="A75" t="s">
        <v>85</v>
      </c>
      <c r="B75">
        <v>2428</v>
      </c>
    </row>
    <row r="76" spans="1:2" x14ac:dyDescent="0.25">
      <c r="A76" t="s">
        <v>83</v>
      </c>
      <c r="B76">
        <v>2444</v>
      </c>
    </row>
    <row r="77" spans="1:2" x14ac:dyDescent="0.25">
      <c r="A77" t="s">
        <v>80</v>
      </c>
      <c r="B77">
        <v>2474</v>
      </c>
    </row>
    <row r="78" spans="1:2" x14ac:dyDescent="0.25">
      <c r="A78" t="s">
        <v>74</v>
      </c>
      <c r="B78">
        <v>2494</v>
      </c>
    </row>
    <row r="79" spans="1:2" x14ac:dyDescent="0.25">
      <c r="A79" t="s">
        <v>87</v>
      </c>
      <c r="B79">
        <v>2396</v>
      </c>
    </row>
    <row r="80" spans="1:2" x14ac:dyDescent="0.25">
      <c r="A80" t="s">
        <v>86</v>
      </c>
      <c r="B80">
        <v>2426</v>
      </c>
    </row>
    <row r="81" spans="1:2" x14ac:dyDescent="0.25">
      <c r="A81" t="s">
        <v>82</v>
      </c>
      <c r="B81">
        <v>2446</v>
      </c>
    </row>
    <row r="82" spans="1:2" x14ac:dyDescent="0.25">
      <c r="A82" t="s">
        <v>75</v>
      </c>
      <c r="B82">
        <v>2482</v>
      </c>
    </row>
    <row r="83" spans="1:2" x14ac:dyDescent="0.25">
      <c r="A83" t="s">
        <v>76</v>
      </c>
      <c r="B83">
        <v>2482</v>
      </c>
    </row>
    <row r="84" spans="1:2" x14ac:dyDescent="0.25">
      <c r="A84" t="s">
        <v>77</v>
      </c>
      <c r="B84">
        <v>2534</v>
      </c>
    </row>
    <row r="85" spans="1:2" x14ac:dyDescent="0.25">
      <c r="A85" t="s">
        <v>90</v>
      </c>
      <c r="B85">
        <v>2343</v>
      </c>
    </row>
  </sheetData>
  <pageMargins left="0.7" right="0.7" top="0.75" bottom="0.75" header="0.3" footer="0.3"/>
  <drawing r:id="rId1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E49B0-01C0-48CF-B062-5D4AB721D783}">
  <dimension ref="A1"/>
  <sheetViews>
    <sheetView topLeftCell="A26" workbookViewId="0">
      <selection activeCell="J55" sqref="J5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</vt:lpstr>
      <vt:lpstr>Working Sheet</vt:lpstr>
      <vt:lpstr>Dashboard</vt:lpstr>
      <vt:lpstr>Features of Pivot Table</vt:lpstr>
      <vt:lpstr>Pivot Table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frankagb solomon</dc:creator>
  <cp:lastModifiedBy>Emmanuel Akaolisa</cp:lastModifiedBy>
  <dcterms:created xsi:type="dcterms:W3CDTF">2025-03-06T09:54:29Z</dcterms:created>
  <dcterms:modified xsi:type="dcterms:W3CDTF">2025-11-18T15:42:49Z</dcterms:modified>
</cp:coreProperties>
</file>